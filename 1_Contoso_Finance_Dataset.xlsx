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khrul Syahmi\Desktop\AI-Alliance Copilot Material\Participants\"/>
    </mc:Choice>
  </mc:AlternateContent>
  <xr:revisionPtr revIDLastSave="0" documentId="8_{74B87965-6B21-4796-BBB7-4242DA856DF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📈 Budget_vs_Actual" sheetId="2" r:id="rId1"/>
    <sheet name="🧾 Invoice_Master" sheetId="3" r:id="rId2"/>
    <sheet name="💰 Expense_Claims" sheetId="4" r:id="rId3"/>
    <sheet name="📅 Calendar" sheetId="5" r:id="rId4"/>
    <sheet name="🏢 Departments" sheetId="6" r:id="rId5"/>
    <sheet name="👤 Vendors" sheetId="7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9" i="4" l="1"/>
  <c r="K124" i="3"/>
  <c r="J124" i="3"/>
  <c r="I124" i="3"/>
  <c r="P37" i="2"/>
  <c r="O37" i="2"/>
  <c r="R37" i="2" s="1"/>
  <c r="N37" i="2"/>
  <c r="M37" i="2"/>
  <c r="L37" i="2"/>
  <c r="K37" i="2"/>
  <c r="J37" i="2"/>
  <c r="I37" i="2"/>
  <c r="H37" i="2"/>
  <c r="G37" i="2"/>
  <c r="F37" i="2"/>
  <c r="E37" i="2"/>
  <c r="D37" i="2"/>
  <c r="C37" i="2"/>
  <c r="R36" i="2"/>
  <c r="Q36" i="2"/>
  <c r="R35" i="2"/>
  <c r="Q35" i="2"/>
  <c r="Q37" i="2" s="1"/>
  <c r="P33" i="2"/>
  <c r="O33" i="2"/>
  <c r="R33" i="2" s="1"/>
  <c r="N33" i="2"/>
  <c r="M33" i="2"/>
  <c r="L33" i="2"/>
  <c r="K33" i="2"/>
  <c r="J33" i="2"/>
  <c r="I33" i="2"/>
  <c r="H33" i="2"/>
  <c r="G33" i="2"/>
  <c r="F33" i="2"/>
  <c r="E33" i="2"/>
  <c r="D33" i="2"/>
  <c r="C33" i="2"/>
  <c r="R32" i="2"/>
  <c r="Q32" i="2"/>
  <c r="R31" i="2"/>
  <c r="Q31" i="2"/>
  <c r="Q33" i="2" s="1"/>
  <c r="P29" i="2"/>
  <c r="O29" i="2"/>
  <c r="R29" i="2" s="1"/>
  <c r="N29" i="2"/>
  <c r="M29" i="2"/>
  <c r="L29" i="2"/>
  <c r="K29" i="2"/>
  <c r="J29" i="2"/>
  <c r="I29" i="2"/>
  <c r="H29" i="2"/>
  <c r="G29" i="2"/>
  <c r="F29" i="2"/>
  <c r="E29" i="2"/>
  <c r="D29" i="2"/>
  <c r="C29" i="2"/>
  <c r="R28" i="2"/>
  <c r="Q28" i="2"/>
  <c r="R27" i="2"/>
  <c r="Q27" i="2"/>
  <c r="R26" i="2"/>
  <c r="Q26" i="2"/>
  <c r="Q29" i="2" s="1"/>
  <c r="P24" i="2"/>
  <c r="O24" i="2"/>
  <c r="R24" i="2" s="1"/>
  <c r="N24" i="2"/>
  <c r="M24" i="2"/>
  <c r="L24" i="2"/>
  <c r="K24" i="2"/>
  <c r="J24" i="2"/>
  <c r="I24" i="2"/>
  <c r="H24" i="2"/>
  <c r="G24" i="2"/>
  <c r="F24" i="2"/>
  <c r="E24" i="2"/>
  <c r="D24" i="2"/>
  <c r="C24" i="2"/>
  <c r="R23" i="2"/>
  <c r="Q23" i="2"/>
  <c r="R22" i="2"/>
  <c r="Q22" i="2"/>
  <c r="R21" i="2"/>
  <c r="Q21" i="2"/>
  <c r="Q24" i="2" s="1"/>
  <c r="P19" i="2"/>
  <c r="O19" i="2"/>
  <c r="R19" i="2" s="1"/>
  <c r="N19" i="2"/>
  <c r="M19" i="2"/>
  <c r="L19" i="2"/>
  <c r="K19" i="2"/>
  <c r="J19" i="2"/>
  <c r="I19" i="2"/>
  <c r="H19" i="2"/>
  <c r="G19" i="2"/>
  <c r="F19" i="2"/>
  <c r="E19" i="2"/>
  <c r="D19" i="2"/>
  <c r="C19" i="2"/>
  <c r="R18" i="2"/>
  <c r="Q18" i="2"/>
  <c r="R17" i="2"/>
  <c r="Q17" i="2"/>
  <c r="Q19" i="2" s="1"/>
  <c r="P15" i="2"/>
  <c r="O15" i="2"/>
  <c r="R15" i="2" s="1"/>
  <c r="N15" i="2"/>
  <c r="M15" i="2"/>
  <c r="L15" i="2"/>
  <c r="K15" i="2"/>
  <c r="J15" i="2"/>
  <c r="I15" i="2"/>
  <c r="H15" i="2"/>
  <c r="G15" i="2"/>
  <c r="F15" i="2"/>
  <c r="E15" i="2"/>
  <c r="D15" i="2"/>
  <c r="C15" i="2"/>
  <c r="R14" i="2"/>
  <c r="Q14" i="2"/>
  <c r="R13" i="2"/>
  <c r="Q13" i="2"/>
  <c r="Q15" i="2" s="1"/>
  <c r="P11" i="2"/>
  <c r="O11" i="2"/>
  <c r="R11" i="2" s="1"/>
  <c r="N11" i="2"/>
  <c r="M11" i="2"/>
  <c r="L11" i="2"/>
  <c r="K11" i="2"/>
  <c r="J11" i="2"/>
  <c r="I11" i="2"/>
  <c r="H11" i="2"/>
  <c r="G11" i="2"/>
  <c r="F11" i="2"/>
  <c r="E11" i="2"/>
  <c r="D11" i="2"/>
  <c r="C11" i="2"/>
  <c r="R10" i="2"/>
  <c r="Q10" i="2"/>
  <c r="R9" i="2"/>
  <c r="Q9" i="2"/>
  <c r="R8" i="2"/>
  <c r="Q8" i="2"/>
  <c r="Q11" i="2" s="1"/>
  <c r="P6" i="2"/>
  <c r="P39" i="2" s="1"/>
  <c r="O6" i="2"/>
  <c r="N6" i="2"/>
  <c r="N39" i="2" s="1"/>
  <c r="M6" i="2"/>
  <c r="M39" i="2" s="1"/>
  <c r="L6" i="2"/>
  <c r="L39" i="2" s="1"/>
  <c r="K6" i="2"/>
  <c r="K39" i="2" s="1"/>
  <c r="J6" i="2"/>
  <c r="J39" i="2" s="1"/>
  <c r="I6" i="2"/>
  <c r="I39" i="2" s="1"/>
  <c r="H6" i="2"/>
  <c r="H39" i="2" s="1"/>
  <c r="G6" i="2"/>
  <c r="G39" i="2" s="1"/>
  <c r="F6" i="2"/>
  <c r="F39" i="2" s="1"/>
  <c r="E6" i="2"/>
  <c r="E39" i="2" s="1"/>
  <c r="D6" i="2"/>
  <c r="D39" i="2" s="1"/>
  <c r="C6" i="2"/>
  <c r="C39" i="2" s="1"/>
  <c r="R5" i="2"/>
  <c r="Q5" i="2"/>
  <c r="R4" i="2"/>
  <c r="Q4" i="2"/>
  <c r="Q6" i="2" s="1"/>
  <c r="Q39" i="2" s="1"/>
  <c r="O39" i="2" l="1"/>
  <c r="R39" i="2" s="1"/>
  <c r="R6" i="2"/>
</calcChain>
</file>

<file path=xl/sharedStrings.xml><?xml version="1.0" encoding="utf-8"?>
<sst xmlns="http://schemas.openxmlformats.org/spreadsheetml/2006/main" count="6008" uniqueCount="888">
  <si>
    <t>CONTOSO SDN BHD — BUDGET VS ACTUAL REPORT 2025</t>
  </si>
  <si>
    <t>Finance Department  |  Financial Year 2025 (January – December)  |  All amounts in Malaysian Ringgit (RM)</t>
  </si>
  <si>
    <t>Department</t>
  </si>
  <si>
    <t>Budget 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</si>
  <si>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</si>
  <si>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</si>
  <si>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</si>
  <si>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</si>
  <si>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</si>
  <si>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</si>
  <si>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</si>
  <si>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</si>
  <si>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</si>
  <si>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</si>
  <si>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</si>
  <si>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</si>
  <si>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Budget (RM)</t>
  </si>
  <si>
    <t>Annual Actual (RM)</t>
  </si>
  <si>
    <t>Annual Variance (RM)</t>
  </si>
  <si>
    <t>Variance %</t>
  </si>
  <si>
    <t>Marketing</t>
  </si>
  <si>
    <t>Salaries &amp; Benefits</t>
  </si>
  <si>
    <t>Operational Costs</t>
  </si>
  <si>
    <t>Marketing TOTAL</t>
  </si>
  <si>
    <t>All Categories</t>
  </si>
  <si>
    <t>Operations</t>
  </si>
  <si>
    <t>Marketing Spend</t>
  </si>
  <si>
    <t>Operations TOTAL</t>
  </si>
  <si>
    <t>Finance</t>
  </si>
  <si>
    <t>Finance TOTAL</t>
  </si>
  <si>
    <t>Human Resources</t>
  </si>
  <si>
    <t>Human Resources TOTAL</t>
  </si>
  <si>
    <t>Information Technology</t>
  </si>
  <si>
    <t>Information Technology TOTAL</t>
  </si>
  <si>
    <t>Sales</t>
  </si>
  <si>
    <t>Sales TOTAL</t>
  </si>
  <si>
    <t>Procurement</t>
  </si>
  <si>
    <t>Procurement TOTAL</t>
  </si>
  <si>
    <t>Administration</t>
  </si>
  <si>
    <t>Administration TOTAL</t>
  </si>
  <si>
    <t>GRAND TOTAL — ALL DEPARTMENTS</t>
  </si>
  <si>
    <t>FY 2025</t>
  </si>
  <si>
    <t>CONTOSO SDN BHD — INVOICE MASTER LIST 2025</t>
  </si>
  <si>
    <t>Accounts Payable — All vendor invoices January to December 2025  |  Amounts in RM</t>
  </si>
  <si>
    <t>Invoice No.</t>
  </si>
  <si>
    <t>Invoice Date</t>
  </si>
  <si>
    <t>Due Date</t>
  </si>
  <si>
    <t>Vendor Name</t>
  </si>
  <si>
    <t>Vendor ID</t>
  </si>
  <si>
    <t>PO Number</t>
  </si>
  <si>
    <t>Description</t>
  </si>
  <si>
    <t>Amount (RM)</t>
  </si>
  <si>
    <t>SST (RM)</t>
  </si>
  <si>
    <t>Total (RM)</t>
  </si>
  <si>
    <t>Status</t>
  </si>
  <si>
    <t>Payment Date</t>
  </si>
  <si>
    <t>Payment Reference</t>
  </si>
  <si>
    <t>INV-2025-0001</t>
  </si>
  <si>
    <t>Apex Technologies Sdn Bhd</t>
  </si>
  <si>
    <t>V001</t>
  </si>
  <si>
    <t>PO-2025-2824</t>
  </si>
  <si>
    <t>Monthly IT infrastructure support services</t>
  </si>
  <si>
    <t>PAID</t>
  </si>
  <si>
    <t>PAY-42098</t>
  </si>
  <si>
    <t>INV-2025-0002</t>
  </si>
  <si>
    <t>GlobalSupply Corp</t>
  </si>
  <si>
    <t>V002</t>
  </si>
  <si>
    <t>PO-2025-3286</t>
  </si>
  <si>
    <t>Office stationery and consumables supply</t>
  </si>
  <si>
    <t>PAY-81482</t>
  </si>
  <si>
    <t>INV-2025-0003</t>
  </si>
  <si>
    <t>PrimePrint &amp; Design</t>
  </si>
  <si>
    <t>V003</t>
  </si>
  <si>
    <t>PO-2025-7912</t>
  </si>
  <si>
    <t>Corporate branding and marketing materials</t>
  </si>
  <si>
    <t>PAY-38657</t>
  </si>
  <si>
    <t>INV-2025-0004</t>
  </si>
  <si>
    <t>FastTrack Logistics</t>
  </si>
  <si>
    <t>V004</t>
  </si>
  <si>
    <t>PO-2025-9279</t>
  </si>
  <si>
    <t>Logistics and courier services</t>
  </si>
  <si>
    <t>PAY-36062</t>
  </si>
  <si>
    <t>INV-2025-0005</t>
  </si>
  <si>
    <t>TechCore Solutions</t>
  </si>
  <si>
    <t>V005</t>
  </si>
  <si>
    <t>PO-2025-9928</t>
  </si>
  <si>
    <t>Software licence renewal — Microsoft 365</t>
  </si>
  <si>
    <t>PAY-87236</t>
  </si>
  <si>
    <t>INV-2025-0006</t>
  </si>
  <si>
    <t>BrightMedia Agency</t>
  </si>
  <si>
    <t>V006</t>
  </si>
  <si>
    <t>PO-2025-1106</t>
  </si>
  <si>
    <t>Digital marketing campaign management</t>
  </si>
  <si>
    <t>PAY-65392</t>
  </si>
  <si>
    <t>INV-2025-0007</t>
  </si>
  <si>
    <t>SafeGuard Security</t>
  </si>
  <si>
    <t>V007</t>
  </si>
  <si>
    <t>PO-2025-5552</t>
  </si>
  <si>
    <t>Building security monitoring services</t>
  </si>
  <si>
    <t>PAY-23396</t>
  </si>
  <si>
    <t>INV-2025-0008</t>
  </si>
  <si>
    <t>ProClean Services</t>
  </si>
  <si>
    <t>V008</t>
  </si>
  <si>
    <t>PO-2025-7224</t>
  </si>
  <si>
    <t>Office cleaning and janitorial services</t>
  </si>
  <si>
    <t>PAY-89131</t>
  </si>
  <si>
    <t>INV-2025-0009</t>
  </si>
  <si>
    <t>OfficePlus Supplies</t>
  </si>
  <si>
    <t>V009</t>
  </si>
  <si>
    <t>PO-2025-1711</t>
  </si>
  <si>
    <t>Staff training and development program</t>
  </si>
  <si>
    <t>PAY-26361</t>
  </si>
  <si>
    <t>INV-2025-0010</t>
  </si>
  <si>
    <t>CloudHost Malaysia</t>
  </si>
  <si>
    <t>V010</t>
  </si>
  <si>
    <t>PO-2025-2291</t>
  </si>
  <si>
    <t>Cloud hosting and server maintenance</t>
  </si>
  <si>
    <t>PAY-91070</t>
  </si>
  <si>
    <t>INV-2025-0011</t>
  </si>
  <si>
    <t>Meraki Events Sdn Bhd</t>
  </si>
  <si>
    <t>V011</t>
  </si>
  <si>
    <t>PO-2025-6925</t>
  </si>
  <si>
    <t>Annual corporate dinner event management</t>
  </si>
  <si>
    <t>PAY-16006</t>
  </si>
  <si>
    <t>INV-2025-0012</t>
  </si>
  <si>
    <t>EduTrain Consultants</t>
  </si>
  <si>
    <t>V012</t>
  </si>
  <si>
    <t>PO-2025-4733</t>
  </si>
  <si>
    <t>Recruitment consulting and headhunting fees</t>
  </si>
  <si>
    <t>PAY-40512</t>
  </si>
  <si>
    <t>INV-2025-0013</t>
  </si>
  <si>
    <t>Horizon Maintenance</t>
  </si>
  <si>
    <t>V013</t>
  </si>
  <si>
    <t>PO-2025-2654</t>
  </si>
  <si>
    <t>Air conditioning preventive maintenance</t>
  </si>
  <si>
    <t>PAY-93320</t>
  </si>
  <si>
    <t>INV-2025-0014</t>
  </si>
  <si>
    <t>DigitalPath Consulting</t>
  </si>
  <si>
    <t>V014</t>
  </si>
  <si>
    <t>PO-2025-6977</t>
  </si>
  <si>
    <t>Digital transformation consulting services</t>
  </si>
  <si>
    <t>PAY-37460</t>
  </si>
  <si>
    <t>INV-2025-0015</t>
  </si>
  <si>
    <t>AllianceSoft Bhd</t>
  </si>
  <si>
    <t>V015</t>
  </si>
  <si>
    <t>PO-2025-5374</t>
  </si>
  <si>
    <t>ERP system customization and support</t>
  </si>
  <si>
    <t>PAY-94939</t>
  </si>
  <si>
    <t>INV-2025-0016</t>
  </si>
  <si>
    <t>PO-2025-3803</t>
  </si>
  <si>
    <t>Website development and UX redesign</t>
  </si>
  <si>
    <t>PAY-31417</t>
  </si>
  <si>
    <t>INV-2025-0017</t>
  </si>
  <si>
    <t>PO-2025-7216</t>
  </si>
  <si>
    <t>Legal retainer and advisory services</t>
  </si>
  <si>
    <t>PAY-83000</t>
  </si>
  <si>
    <t>INV-2025-0018</t>
  </si>
  <si>
    <t>PO-2025-6313</t>
  </si>
  <si>
    <t>Accounting software subscription renewal</t>
  </si>
  <si>
    <t>PAY-40021</t>
  </si>
  <si>
    <t>INV-2025-0019</t>
  </si>
  <si>
    <t>PO-2025-1525</t>
  </si>
  <si>
    <t>Company vehicle maintenance and service</t>
  </si>
  <si>
    <t>PAY-45093</t>
  </si>
  <si>
    <t>INV-2025-0020</t>
  </si>
  <si>
    <t>PO-2025-4456</t>
  </si>
  <si>
    <t>Photography and videography services</t>
  </si>
  <si>
    <t>PAY-51245</t>
  </si>
  <si>
    <t>INV-2025-0021</t>
  </si>
  <si>
    <t>PO-2025-9179</t>
  </si>
  <si>
    <t>PAY-70142</t>
  </si>
  <si>
    <t>INV-2025-0022</t>
  </si>
  <si>
    <t>PO-2025-5339</t>
  </si>
  <si>
    <t>PAY-80644</t>
  </si>
  <si>
    <t>INV-2025-0023</t>
  </si>
  <si>
    <t>PO-2025-8019</t>
  </si>
  <si>
    <t>PAY-57447</t>
  </si>
  <si>
    <t>INV-2025-0024</t>
  </si>
  <si>
    <t>PO-2025-3266</t>
  </si>
  <si>
    <t>PAY-16175</t>
  </si>
  <si>
    <t>INV-2025-0025</t>
  </si>
  <si>
    <t>PO-2025-2796</t>
  </si>
  <si>
    <t>PAY-99192</t>
  </si>
  <si>
    <t>INV-2025-0026</t>
  </si>
  <si>
    <t>PO-2025-2040</t>
  </si>
  <si>
    <t>PAY-71348</t>
  </si>
  <si>
    <t>INV-2025-0027</t>
  </si>
  <si>
    <t>PO-2025-5119</t>
  </si>
  <si>
    <t>PAY-99166</t>
  </si>
  <si>
    <t>INV-2025-0028</t>
  </si>
  <si>
    <t>PO-2025-2876</t>
  </si>
  <si>
    <t>PAY-44973</t>
  </si>
  <si>
    <t>INV-2025-0029</t>
  </si>
  <si>
    <t>PO-2025-6573</t>
  </si>
  <si>
    <t>PAY-30730</t>
  </si>
  <si>
    <t>INV-2025-0030</t>
  </si>
  <si>
    <t>PO-2025-1053</t>
  </si>
  <si>
    <t>PAY-75612</t>
  </si>
  <si>
    <t>INV-2025-0031</t>
  </si>
  <si>
    <t>PO-2025-3927</t>
  </si>
  <si>
    <t>PAY-91959</t>
  </si>
  <si>
    <t>INV-2025-0032</t>
  </si>
  <si>
    <t>PO-2025-9317</t>
  </si>
  <si>
    <t>PAY-59009</t>
  </si>
  <si>
    <t>INV-2025-0033</t>
  </si>
  <si>
    <t>PO-2025-3646</t>
  </si>
  <si>
    <t>PAY-10074</t>
  </si>
  <si>
    <t>INV-2025-0034</t>
  </si>
  <si>
    <t>PO-2025-6310</t>
  </si>
  <si>
    <t>PAY-57576</t>
  </si>
  <si>
    <t>INV-2025-0035</t>
  </si>
  <si>
    <t>PO-2025-6038</t>
  </si>
  <si>
    <t>PAY-84364</t>
  </si>
  <si>
    <t>INV-2025-0036</t>
  </si>
  <si>
    <t>PO-2025-2403</t>
  </si>
  <si>
    <t>PAY-79822</t>
  </si>
  <si>
    <t>INV-2025-0037</t>
  </si>
  <si>
    <t>PO-2025-3060</t>
  </si>
  <si>
    <t>PAY-82063</t>
  </si>
  <si>
    <t>INV-2025-0038</t>
  </si>
  <si>
    <t>PO-2025-5342</t>
  </si>
  <si>
    <t>PAY-65461</t>
  </si>
  <si>
    <t>INV-2025-0039</t>
  </si>
  <si>
    <t>PO-2025-9835</t>
  </si>
  <si>
    <t>PAY-50857</t>
  </si>
  <si>
    <t>INV-2025-0040</t>
  </si>
  <si>
    <t>PO-2025-7118</t>
  </si>
  <si>
    <t>PAY-69177</t>
  </si>
  <si>
    <t>INV-2025-0041</t>
  </si>
  <si>
    <t>PO-2025-5061</t>
  </si>
  <si>
    <t>PAY-12757</t>
  </si>
  <si>
    <t>INV-2025-0042</t>
  </si>
  <si>
    <t>PO-2025-4770</t>
  </si>
  <si>
    <t>PAY-19305</t>
  </si>
  <si>
    <t>INV-2025-0043</t>
  </si>
  <si>
    <t>PO-2025-1964</t>
  </si>
  <si>
    <t>PAY-53309</t>
  </si>
  <si>
    <t>INV-2025-0044</t>
  </si>
  <si>
    <t>PO-2025-9423</t>
  </si>
  <si>
    <t>PAY-73624</t>
  </si>
  <si>
    <t>INV-2025-0045</t>
  </si>
  <si>
    <t>PO-2025-9834</t>
  </si>
  <si>
    <t>PAY-85525</t>
  </si>
  <si>
    <t>INV-2025-0046</t>
  </si>
  <si>
    <t>PO-2025-4981</t>
  </si>
  <si>
    <t>PAY-34957</t>
  </si>
  <si>
    <t>INV-2025-0047</t>
  </si>
  <si>
    <t>PO-2025-2588</t>
  </si>
  <si>
    <t>PAY-65519</t>
  </si>
  <si>
    <t>INV-2025-0048</t>
  </si>
  <si>
    <t>PO-2025-8651</t>
  </si>
  <si>
    <t>PAY-98259</t>
  </si>
  <si>
    <t>INV-2025-0049</t>
  </si>
  <si>
    <t>PO-2025-2612</t>
  </si>
  <si>
    <t>PAY-24322</t>
  </si>
  <si>
    <t>INV-2025-0050</t>
  </si>
  <si>
    <t>PO-2025-4139</t>
  </si>
  <si>
    <t>PAY-28373</t>
  </si>
  <si>
    <t>INV-2025-0051</t>
  </si>
  <si>
    <t>PO-2025-4006</t>
  </si>
  <si>
    <t>PAY-19880</t>
  </si>
  <si>
    <t>INV-2025-0052</t>
  </si>
  <si>
    <t>PO-2025-2604</t>
  </si>
  <si>
    <t>PAY-11934</t>
  </si>
  <si>
    <t>INV-2025-0053</t>
  </si>
  <si>
    <t>PO-2025-4872</t>
  </si>
  <si>
    <t>PAY-73092</t>
  </si>
  <si>
    <t>INV-2025-0054</t>
  </si>
  <si>
    <t>PO-2025-7570</t>
  </si>
  <si>
    <t>PAY-59672</t>
  </si>
  <si>
    <t>INV-2025-0055</t>
  </si>
  <si>
    <t>PO-2025-7396</t>
  </si>
  <si>
    <t>PAY-47388</t>
  </si>
  <si>
    <t>INV-2025-0056</t>
  </si>
  <si>
    <t>PO-2025-8973</t>
  </si>
  <si>
    <t>APPROVED</t>
  </si>
  <si>
    <t>—</t>
  </si>
  <si>
    <t>INV-2025-0057</t>
  </si>
  <si>
    <t>PO-2025-4566</t>
  </si>
  <si>
    <t>INV-2025-0058</t>
  </si>
  <si>
    <t>PO-2025-9883</t>
  </si>
  <si>
    <t>INV-2025-0059</t>
  </si>
  <si>
    <t>PO-2025-1936</t>
  </si>
  <si>
    <t>INV-2025-0060</t>
  </si>
  <si>
    <t>PO-2025-9238</t>
  </si>
  <si>
    <t>INV-2025-0061</t>
  </si>
  <si>
    <t>PO-2025-3579</t>
  </si>
  <si>
    <t>INV-2025-0062</t>
  </si>
  <si>
    <t>PO-2025-2312</t>
  </si>
  <si>
    <t>INV-2025-0063</t>
  </si>
  <si>
    <t>PO-2025-2113</t>
  </si>
  <si>
    <t>INV-2025-0064</t>
  </si>
  <si>
    <t>PO-2025-7615</t>
  </si>
  <si>
    <t>INV-2025-0065</t>
  </si>
  <si>
    <t>PO-2025-5033</t>
  </si>
  <si>
    <t>INV-2025-0066</t>
  </si>
  <si>
    <t>PO-2025-2343</t>
  </si>
  <si>
    <t>INV-2025-0067</t>
  </si>
  <si>
    <t>PO-2025-9565</t>
  </si>
  <si>
    <t>INV-2025-0068</t>
  </si>
  <si>
    <t>PO-2025-4346</t>
  </si>
  <si>
    <t>INV-2025-0069</t>
  </si>
  <si>
    <t>PO-2025-4910</t>
  </si>
  <si>
    <t>INV-2025-0070</t>
  </si>
  <si>
    <t>PO-2025-5915</t>
  </si>
  <si>
    <t>INV-2025-0071</t>
  </si>
  <si>
    <t>PO-2025-2188</t>
  </si>
  <si>
    <t>INV-2025-0072</t>
  </si>
  <si>
    <t>PO-2025-2638</t>
  </si>
  <si>
    <t>INV-2025-0073</t>
  </si>
  <si>
    <t>PO-2025-9288</t>
  </si>
  <si>
    <t>INV-2025-0074</t>
  </si>
  <si>
    <t>PO-2025-2127</t>
  </si>
  <si>
    <t>INV-2025-0075</t>
  </si>
  <si>
    <t>PO-2025-5669</t>
  </si>
  <si>
    <t>INV-2025-0076</t>
  </si>
  <si>
    <t>PO-2025-9900</t>
  </si>
  <si>
    <t>PAYMENT SCHEDULED</t>
  </si>
  <si>
    <t>SCHED-9666</t>
  </si>
  <si>
    <t>INV-2025-0077</t>
  </si>
  <si>
    <t>PO-2025-5905</t>
  </si>
  <si>
    <t>SCHED-3200</t>
  </si>
  <si>
    <t>INV-2025-0078</t>
  </si>
  <si>
    <t>PO-2025-2891</t>
  </si>
  <si>
    <t>SCHED-3546</t>
  </si>
  <si>
    <t>INV-2025-0079</t>
  </si>
  <si>
    <t>PO-2025-5616</t>
  </si>
  <si>
    <t>SCHED-6617</t>
  </si>
  <si>
    <t>INV-2025-0080</t>
  </si>
  <si>
    <t>PO-2025-5325</t>
  </si>
  <si>
    <t>SCHED-1832</t>
  </si>
  <si>
    <t>INV-2025-0081</t>
  </si>
  <si>
    <t>PO-2025-7939</t>
  </si>
  <si>
    <t>SCHED-1058</t>
  </si>
  <si>
    <t>INV-2025-0082</t>
  </si>
  <si>
    <t>PO-2025-3143</t>
  </si>
  <si>
    <t>SCHED-3647</t>
  </si>
  <si>
    <t>INV-2025-0083</t>
  </si>
  <si>
    <t>PO-2025-8239</t>
  </si>
  <si>
    <t>SCHED-1158</t>
  </si>
  <si>
    <t>INV-2025-0084</t>
  </si>
  <si>
    <t>PO-2025-2232</t>
  </si>
  <si>
    <t>SCHED-3442</t>
  </si>
  <si>
    <t>INV-2025-0085</t>
  </si>
  <si>
    <t>PO-2025-1590</t>
  </si>
  <si>
    <t>SCHED-3426</t>
  </si>
  <si>
    <t>INV-2025-0086</t>
  </si>
  <si>
    <t>PO-2025-3088</t>
  </si>
  <si>
    <t>SCHED-1653</t>
  </si>
  <si>
    <t>INV-2025-0087</t>
  </si>
  <si>
    <t>PO-2025-4441</t>
  </si>
  <si>
    <t>SCHED-2684</t>
  </si>
  <si>
    <t>INV-2025-0088</t>
  </si>
  <si>
    <t>PO-2025-7658</t>
  </si>
  <si>
    <t>SCHED-3532</t>
  </si>
  <si>
    <t>INV-2025-0089</t>
  </si>
  <si>
    <t>PO-2025-3662</t>
  </si>
  <si>
    <t>SCHED-7755</t>
  </si>
  <si>
    <t>INV-2025-0090</t>
  </si>
  <si>
    <t>PO-2025-3938</t>
  </si>
  <si>
    <t>SCHED-7745</t>
  </si>
  <si>
    <t>INV-2025-0091</t>
  </si>
  <si>
    <t>PO-2025-5065</t>
  </si>
  <si>
    <t>UNDER REVIEW</t>
  </si>
  <si>
    <t>INV-2025-0092</t>
  </si>
  <si>
    <t>PO-2025-2771</t>
  </si>
  <si>
    <t>INV-2025-0093</t>
  </si>
  <si>
    <t>PO-2025-8711</t>
  </si>
  <si>
    <t>INV-2025-0094</t>
  </si>
  <si>
    <t>PO-2025-8541</t>
  </si>
  <si>
    <t>INV-2025-0095</t>
  </si>
  <si>
    <t>PO-2025-4728</t>
  </si>
  <si>
    <t>INV-2025-0096</t>
  </si>
  <si>
    <t>PO-2025-4164</t>
  </si>
  <si>
    <t>INV-2025-0097</t>
  </si>
  <si>
    <t>PO-2025-2137</t>
  </si>
  <si>
    <t>INV-2025-0098</t>
  </si>
  <si>
    <t>PO-2025-6753</t>
  </si>
  <si>
    <t>INV-2025-0099</t>
  </si>
  <si>
    <t>PO-2025-9785</t>
  </si>
  <si>
    <t>INV-2025-0100</t>
  </si>
  <si>
    <t>PO-2025-2889</t>
  </si>
  <si>
    <t>INV-2025-0101</t>
  </si>
  <si>
    <t>PO-2025-3925</t>
  </si>
  <si>
    <t>INV-2025-0102</t>
  </si>
  <si>
    <t>PO-2025-1626</t>
  </si>
  <si>
    <t>INV-2025-0103</t>
  </si>
  <si>
    <t>PO-2025-6663</t>
  </si>
  <si>
    <t>ON HOLD</t>
  </si>
  <si>
    <t>INV-2025-0104</t>
  </si>
  <si>
    <t>PO-2025-8149</t>
  </si>
  <si>
    <t>INV-2025-0105</t>
  </si>
  <si>
    <t>PO-2025-2894</t>
  </si>
  <si>
    <t>INV-2025-0106</t>
  </si>
  <si>
    <t>PO-2025-4114</t>
  </si>
  <si>
    <t>INV-2025-0107</t>
  </si>
  <si>
    <t>PO-2025-8144</t>
  </si>
  <si>
    <t>INV-2025-0108</t>
  </si>
  <si>
    <t>PO-2025-9821</t>
  </si>
  <si>
    <t>INV-2025-0109</t>
  </si>
  <si>
    <t>PO-2025-4228</t>
  </si>
  <si>
    <t>INV-2025-0110</t>
  </si>
  <si>
    <t>PO-2025-6409</t>
  </si>
  <si>
    <t>INV-2025-0111</t>
  </si>
  <si>
    <t>PO-2025-3041</t>
  </si>
  <si>
    <t>INV-2025-0112</t>
  </si>
  <si>
    <t>PO-2025-9308</t>
  </si>
  <si>
    <t>INV-2025-0113</t>
  </si>
  <si>
    <t>PO-2025-6344</t>
  </si>
  <si>
    <t>REJECTED</t>
  </si>
  <si>
    <t>INV-2025-0114</t>
  </si>
  <si>
    <t>PO-2025-3085</t>
  </si>
  <si>
    <t>INV-2025-0115</t>
  </si>
  <si>
    <t>PO-2025-7211</t>
  </si>
  <si>
    <t>INV-2025-0116</t>
  </si>
  <si>
    <t>PO-2025-5930</t>
  </si>
  <si>
    <t>INV-2025-0117</t>
  </si>
  <si>
    <t>PO-2025-1006</t>
  </si>
  <si>
    <t>INV-2025-0118</t>
  </si>
  <si>
    <t>PO-2025-8043</t>
  </si>
  <si>
    <t>RECEIVED</t>
  </si>
  <si>
    <t>INV-2025-0119</t>
  </si>
  <si>
    <t>PO-2025-6279</t>
  </si>
  <si>
    <t>INV-2025-0120</t>
  </si>
  <si>
    <t>PO-2025-4501</t>
  </si>
  <si>
    <t>TOTAL (120 Invoices)</t>
  </si>
  <si>
    <t>CONTOSO SDN BHD — EMPLOYEE EXPENSE CLAIMS REGISTER 2025</t>
  </si>
  <si>
    <t>Finance Department — All staff expense reimbursements January to December 2025  |  Amounts in RM</t>
  </si>
  <si>
    <t>Claim ID</t>
  </si>
  <si>
    <t>Employee Name</t>
  </si>
  <si>
    <t>Employee ID</t>
  </si>
  <si>
    <t>Expense Date</t>
  </si>
  <si>
    <t>Submission Date</t>
  </si>
  <si>
    <t>Category</t>
  </si>
  <si>
    <t>Approval Status</t>
  </si>
  <si>
    <t>Approved By</t>
  </si>
  <si>
    <t>Remarks</t>
  </si>
  <si>
    <t>CLM-2025-0001</t>
  </si>
  <si>
    <t>Ahmad Faizal bin Razak</t>
  </si>
  <si>
    <t>EMP001</t>
  </si>
  <si>
    <t>Travel — Domestic</t>
  </si>
  <si>
    <t>Grab/taxi — client visit to Penang</t>
  </si>
  <si>
    <t>APPROVED &amp; PAID</t>
  </si>
  <si>
    <t>Faridah Hamzah (Finance Manager)</t>
  </si>
  <si>
    <t>Payment credited to salary account</t>
  </si>
  <si>
    <t>CLM-2025-0002</t>
  </si>
  <si>
    <t>Nurul Izzati binti Hassan</t>
  </si>
  <si>
    <t>EMP002</t>
  </si>
  <si>
    <t>Travel — International</t>
  </si>
  <si>
    <t>Airfare — business trip to Singapore</t>
  </si>
  <si>
    <t>Dato' Krishnan Pillai (Finance Director)</t>
  </si>
  <si>
    <t>CLM-2025-0003</t>
  </si>
  <si>
    <t>Tan Wei Liang</t>
  </si>
  <si>
    <t>EMP003</t>
  </si>
  <si>
    <t>Accommodation</t>
  </si>
  <si>
    <t>Hotel stay — business trip to Bangkok</t>
  </si>
  <si>
    <t>Ahmad Razif (HOD)</t>
  </si>
  <si>
    <t>CLM-2025-0004</t>
  </si>
  <si>
    <t>Priya a/p Krishnamurthy</t>
  </si>
  <si>
    <t>EMP004</t>
  </si>
  <si>
    <t>Meals &amp; Entertainment</t>
  </si>
  <si>
    <t>Business lunch with client — Jakarta</t>
  </si>
  <si>
    <t>CLM-2025-0005</t>
  </si>
  <si>
    <t>Mohd Hafiz bin Othman</t>
  </si>
  <si>
    <t>EMP005</t>
  </si>
  <si>
    <t>Mobile &amp; Communication</t>
  </si>
  <si>
    <t>Monthly mobile claim — Jakarta</t>
  </si>
  <si>
    <t>CLM-2025-0006</t>
  </si>
  <si>
    <t>Lim Siew Ching</t>
  </si>
  <si>
    <t>EMP006</t>
  </si>
  <si>
    <t>Office Supplies</t>
  </si>
  <si>
    <t>Stationery and printing supplies — Kuala Lumpur</t>
  </si>
  <si>
    <t>CLM-2025-0007</t>
  </si>
  <si>
    <t>Amirul Hakim bin Zulkifli</t>
  </si>
  <si>
    <t>EMP007</t>
  </si>
  <si>
    <t>Training &amp; Conferences</t>
  </si>
  <si>
    <t>Conference registration fee — Penang</t>
  </si>
  <si>
    <t>CLM-2025-0008</t>
  </si>
  <si>
    <t>Kavitha a/p Rajendran</t>
  </si>
  <si>
    <t>EMP008</t>
  </si>
  <si>
    <t>Parking &amp; Toll</t>
  </si>
  <si>
    <t>Parking and toll charges — Jakarta</t>
  </si>
  <si>
    <t>CLM-2025-0009</t>
  </si>
  <si>
    <t>Siti Norafifah binti Amin</t>
  </si>
  <si>
    <t>EMP009</t>
  </si>
  <si>
    <t>Client Entertainment</t>
  </si>
  <si>
    <t>Client dinner — Kuala Lumpur</t>
  </si>
  <si>
    <t>CLM-2025-0010</t>
  </si>
  <si>
    <t>Chong Kah Meng</t>
  </si>
  <si>
    <t>EMP010</t>
  </si>
  <si>
    <t>Medical</t>
  </si>
  <si>
    <t>Medical reimbursement — Penang</t>
  </si>
  <si>
    <t>CLM-2025-0011</t>
  </si>
  <si>
    <t>Roslan bin Ismail</t>
  </si>
  <si>
    <t>EMP011</t>
  </si>
  <si>
    <t>Grab/taxi — client visit to Kota Kinabalu</t>
  </si>
  <si>
    <t>CLM-2025-0012</t>
  </si>
  <si>
    <t>Yeap Hui Ling</t>
  </si>
  <si>
    <t>EMP012</t>
  </si>
  <si>
    <t>CLM-2025-0013</t>
  </si>
  <si>
    <t>Hotel stay — business trip to Kuala Lumpur</t>
  </si>
  <si>
    <t>CLM-2025-0014</t>
  </si>
  <si>
    <t>Business lunch with client — Kuala Lumpur</t>
  </si>
  <si>
    <t>CLM-2025-0015</t>
  </si>
  <si>
    <t>Monthly mobile claim — Penang</t>
  </si>
  <si>
    <t>CLM-2025-0016</t>
  </si>
  <si>
    <t>CLM-2025-0017</t>
  </si>
  <si>
    <t>Conference registration fee — Johor Bahru</t>
  </si>
  <si>
    <t>CLM-2025-0018</t>
  </si>
  <si>
    <t>Parking and toll charges — Bangkok</t>
  </si>
  <si>
    <t>CLM-2025-0019</t>
  </si>
  <si>
    <t>Client dinner — Bangkok</t>
  </si>
  <si>
    <t>CLM-2025-0020</t>
  </si>
  <si>
    <t>Medical reimbursement — Kuala Lumpur</t>
  </si>
  <si>
    <t>CLM-2025-0021</t>
  </si>
  <si>
    <t>CLM-2025-0022</t>
  </si>
  <si>
    <t>Airfare — business trip to Johor Bahru</t>
  </si>
  <si>
    <t>CLM-2025-0023</t>
  </si>
  <si>
    <t>Hotel stay — business trip to Johor Bahru</t>
  </si>
  <si>
    <t>CLM-2025-0024</t>
  </si>
  <si>
    <t>CLM-2025-0025</t>
  </si>
  <si>
    <t>CLM-2025-0026</t>
  </si>
  <si>
    <t>Stationery and printing supplies — Jakarta</t>
  </si>
  <si>
    <t>CLM-2025-0027</t>
  </si>
  <si>
    <t>Conference registration fee — Jakarta</t>
  </si>
  <si>
    <t>CLM-2025-0028</t>
  </si>
  <si>
    <t>Parking and toll charges — Johor Bahru</t>
  </si>
  <si>
    <t>CLM-2025-0029</t>
  </si>
  <si>
    <t>Client dinner — Kota Kinabalu</t>
  </si>
  <si>
    <t>CLM-2025-0030</t>
  </si>
  <si>
    <t>Medical reimbursement — Singapore</t>
  </si>
  <si>
    <t>CLM-2025-0031</t>
  </si>
  <si>
    <t>Grab/taxi — client visit to Jakarta</t>
  </si>
  <si>
    <t>CLM-2025-0032</t>
  </si>
  <si>
    <t>CLM-2025-0033</t>
  </si>
  <si>
    <t>Hotel stay — business trip to Kota Kinabalu</t>
  </si>
  <si>
    <t>CLM-2025-0034</t>
  </si>
  <si>
    <t>Business lunch with client — Penang</t>
  </si>
  <si>
    <t>CLM-2025-0035</t>
  </si>
  <si>
    <t>Monthly mobile claim — Kuala Lumpur</t>
  </si>
  <si>
    <t>CLM-2025-0036</t>
  </si>
  <si>
    <t>Stationery and printing supplies — Bangkok</t>
  </si>
  <si>
    <t>CLM-2025-0037</t>
  </si>
  <si>
    <t>CLM-2025-0038</t>
  </si>
  <si>
    <t>Parking and toll charges — Singapore</t>
  </si>
  <si>
    <t>CLM-2025-0039</t>
  </si>
  <si>
    <t>Client dinner — Singapore</t>
  </si>
  <si>
    <t>CLM-2025-0040</t>
  </si>
  <si>
    <t>CLM-2025-0041</t>
  </si>
  <si>
    <t>Grab/taxi — client visit to Kuala Lumpur</t>
  </si>
  <si>
    <t>CLM-2025-0042</t>
  </si>
  <si>
    <t>Airfare — business trip to Kuala Lumpur</t>
  </si>
  <si>
    <t>CLM-2025-0043</t>
  </si>
  <si>
    <t>Awaiting next payment run</t>
  </si>
  <si>
    <t>CLM-2025-0044</t>
  </si>
  <si>
    <t>Business lunch with client — Johor Bahru</t>
  </si>
  <si>
    <t>CLM-2025-0045</t>
  </si>
  <si>
    <t>Monthly mobile claim — Johor Bahru</t>
  </si>
  <si>
    <t>CLM-2025-0046</t>
  </si>
  <si>
    <t>CLM-2025-0047</t>
  </si>
  <si>
    <t>Conference registration fee — Singapore</t>
  </si>
  <si>
    <t>CLM-2025-0048</t>
  </si>
  <si>
    <t>CLM-2025-0049</t>
  </si>
  <si>
    <t>CLM-2025-0050</t>
  </si>
  <si>
    <t>CLM-2025-0051</t>
  </si>
  <si>
    <t>CLM-2025-0052</t>
  </si>
  <si>
    <t>Airfare — business trip to Penang</t>
  </si>
  <si>
    <t>CLM-2025-0053</t>
  </si>
  <si>
    <t>CLM-2025-0054</t>
  </si>
  <si>
    <t>Business lunch with client — Bangkok</t>
  </si>
  <si>
    <t>CLM-2025-0055</t>
  </si>
  <si>
    <t>CLM-2025-0056</t>
  </si>
  <si>
    <t>Stationery and printing supplies — Penang</t>
  </si>
  <si>
    <t>CLM-2025-0057</t>
  </si>
  <si>
    <t>CLM-2025-0058</t>
  </si>
  <si>
    <t>CLM-2025-0059</t>
  </si>
  <si>
    <t>CLM-2025-0060</t>
  </si>
  <si>
    <t>Medical reimbursement — Kota Kinabalu</t>
  </si>
  <si>
    <t>CLM-2025-0061</t>
  </si>
  <si>
    <t>Grab/taxi — client visit to Singapore</t>
  </si>
  <si>
    <t>PENDING APPROVAL</t>
  </si>
  <si>
    <t>Submitted — awaiting Line Manager review</t>
  </si>
  <si>
    <t>CLM-2025-0062</t>
  </si>
  <si>
    <t>CLM-2025-0063</t>
  </si>
  <si>
    <t>Hotel stay — business trip to Penang</t>
  </si>
  <si>
    <t>CLM-2025-0064</t>
  </si>
  <si>
    <t>CLM-2025-0065</t>
  </si>
  <si>
    <t>Monthly mobile claim — Bangkok</t>
  </si>
  <si>
    <t>CLM-2025-0066</t>
  </si>
  <si>
    <t>CLM-2025-0067</t>
  </si>
  <si>
    <t>CLM-2025-0068</t>
  </si>
  <si>
    <t>Parking and toll charges — Kota Kinabalu</t>
  </si>
  <si>
    <t>CLM-2025-0069</t>
  </si>
  <si>
    <t>CLM-2025-0070</t>
  </si>
  <si>
    <t>Medical reimbursement — Jakarta</t>
  </si>
  <si>
    <t>CLM-2025-0071</t>
  </si>
  <si>
    <t>CLM-2025-0072</t>
  </si>
  <si>
    <t>CLM-2025-0073</t>
  </si>
  <si>
    <t>Hotel stay — business trip to Singapore</t>
  </si>
  <si>
    <t>Receipt verification in progress</t>
  </si>
  <si>
    <t>CLM-2025-0074</t>
  </si>
  <si>
    <t>CLM-2025-0075</t>
  </si>
  <si>
    <t>CLM-2025-0076</t>
  </si>
  <si>
    <t>CLM-2025-0077</t>
  </si>
  <si>
    <t>Conference registration fee — Bangkok</t>
  </si>
  <si>
    <t>CLM-2025-0078</t>
  </si>
  <si>
    <t>Parking and toll charges — Kuala Lumpur</t>
  </si>
  <si>
    <t>CLM-2025-0079</t>
  </si>
  <si>
    <t>Client dinner — Jakarta</t>
  </si>
  <si>
    <t>CLM-2025-0080</t>
  </si>
  <si>
    <t>CLM-2025-0081</t>
  </si>
  <si>
    <t>Grab/taxi — client visit to Johor Bahru</t>
  </si>
  <si>
    <t>Missing original receipt / exceeded policy limit</t>
  </si>
  <si>
    <t>CLM-2025-0082</t>
  </si>
  <si>
    <t>CLM-2025-0083</t>
  </si>
  <si>
    <t>CLM-2025-0084</t>
  </si>
  <si>
    <t>CLM-2025-0085</t>
  </si>
  <si>
    <t>Monthly mobile claim — Singapore</t>
  </si>
  <si>
    <t>TOTAL — 85 CLAIMS</t>
  </si>
  <si>
    <t>CONTOSO SDN BHD — DATE REFERENCE TABLE (2025 – 2026)</t>
  </si>
  <si>
    <t>Date</t>
  </si>
  <si>
    <t>Day Name</t>
  </si>
  <si>
    <t>Month</t>
  </si>
  <si>
    <t>Month Number</t>
  </si>
  <si>
    <t>Quarter</t>
  </si>
  <si>
    <t>Financial Period</t>
  </si>
  <si>
    <t>Is Working Day</t>
  </si>
  <si>
    <t>Notes</t>
  </si>
  <si>
    <t>Wednesday</t>
  </si>
  <si>
    <t>January</t>
  </si>
  <si>
    <t>Q1</t>
  </si>
  <si>
    <t>Period 01</t>
  </si>
  <si>
    <t>No</t>
  </si>
  <si>
    <t>New Year's Day</t>
  </si>
  <si>
    <t>Thursday</t>
  </si>
  <si>
    <t>Yes</t>
  </si>
  <si>
    <t>Friday</t>
  </si>
  <si>
    <t>Saturday</t>
  </si>
  <si>
    <t>Weekend</t>
  </si>
  <si>
    <t>Sunday</t>
  </si>
  <si>
    <t>Monday</t>
  </si>
  <si>
    <t>Tuesday</t>
  </si>
  <si>
    <t>Chinese New Year Day 1</t>
  </si>
  <si>
    <t>Chinese New Year Day 2</t>
  </si>
  <si>
    <t>February</t>
  </si>
  <si>
    <t>Period 02</t>
  </si>
  <si>
    <t>March</t>
  </si>
  <si>
    <t>Period 03</t>
  </si>
  <si>
    <t>Hari Raya Aidilfitri</t>
  </si>
  <si>
    <t>April</t>
  </si>
  <si>
    <t>Q2</t>
  </si>
  <si>
    <t>Period 04</t>
  </si>
  <si>
    <t>Hari Raya Aidilfitri Day 2</t>
  </si>
  <si>
    <t>Period 05</t>
  </si>
  <si>
    <t>Labour Day</t>
  </si>
  <si>
    <t>Wesak Day</t>
  </si>
  <si>
    <t>June</t>
  </si>
  <si>
    <t>Period 06</t>
  </si>
  <si>
    <t>Yang di-Pertuan Agong's Birthday</t>
  </si>
  <si>
    <t>Hari Raya Aidiladha</t>
  </si>
  <si>
    <t>July</t>
  </si>
  <si>
    <t>Q3</t>
  </si>
  <si>
    <t>Period 07</t>
  </si>
  <si>
    <t>Awal Muharram</t>
  </si>
  <si>
    <t>August</t>
  </si>
  <si>
    <t>Period 08</t>
  </si>
  <si>
    <t>National Day</t>
  </si>
  <si>
    <t>September</t>
  </si>
  <si>
    <t>Period 09</t>
  </si>
  <si>
    <t>Malaysia Day</t>
  </si>
  <si>
    <t>October</t>
  </si>
  <si>
    <t>Q4</t>
  </si>
  <si>
    <t>Period 10</t>
  </si>
  <si>
    <t>Prophet Muhammad's Birthday</t>
  </si>
  <si>
    <t>November</t>
  </si>
  <si>
    <t>Period 11</t>
  </si>
  <si>
    <t>Deepavali</t>
  </si>
  <si>
    <t>December</t>
  </si>
  <si>
    <t>Period 12</t>
  </si>
  <si>
    <t>Christmas Day</t>
  </si>
  <si>
    <t>CONTOSO SDN BHD — DEPARTMENT MASTER DATA</t>
  </si>
  <si>
    <t>Dept ID</t>
  </si>
  <si>
    <t>Department Name</t>
  </si>
  <si>
    <t>HOD Name</t>
  </si>
  <si>
    <t>HOD Email</t>
  </si>
  <si>
    <t>Cost Centre Code</t>
  </si>
  <si>
    <t>GL Code</t>
  </si>
  <si>
    <t>D01</t>
  </si>
  <si>
    <t>Fadhilah binti Yusoff</t>
  </si>
  <si>
    <t>fadhilah.yusoff@contoso.com.my</t>
  </si>
  <si>
    <t>CC-MKT-01</t>
  </si>
  <si>
    <t>4100</t>
  </si>
  <si>
    <t>D02</t>
  </si>
  <si>
    <t>Razif bin Abdullah</t>
  </si>
  <si>
    <t>razif.abdullah@contoso.com.my</t>
  </si>
  <si>
    <t>CC-OPS-01</t>
  </si>
  <si>
    <t>4200</t>
  </si>
  <si>
    <t>D03</t>
  </si>
  <si>
    <t>Faridah binti Hamzah</t>
  </si>
  <si>
    <t>faridah.hamzah@contoso.com.my</t>
  </si>
  <si>
    <t>CC-FIN-01</t>
  </si>
  <si>
    <t>4300</t>
  </si>
  <si>
    <t>D04</t>
  </si>
  <si>
    <t>Sarina binti Mohd Noor</t>
  </si>
  <si>
    <t>sarina.mohd@contoso.com.my</t>
  </si>
  <si>
    <t>CC-HRD-01</t>
  </si>
  <si>
    <t>4400</t>
  </si>
  <si>
    <t>D05</t>
  </si>
  <si>
    <t>Vijay a/l Subramaniam</t>
  </si>
  <si>
    <t>vijay.subramaniam@contoso.com.my</t>
  </si>
  <si>
    <t>CC-ITC-01</t>
  </si>
  <si>
    <t>4500</t>
  </si>
  <si>
    <t>D06</t>
  </si>
  <si>
    <t>Chong Wei Keong</t>
  </si>
  <si>
    <t>chong.weekeong@contoso.com.my</t>
  </si>
  <si>
    <t>CC-SAL-01</t>
  </si>
  <si>
    <t>4600</t>
  </si>
  <si>
    <t>D07</t>
  </si>
  <si>
    <t>Hanim binti Kamarudin</t>
  </si>
  <si>
    <t>hanim.kamarudin@contoso.com.my</t>
  </si>
  <si>
    <t>CC-PRO-01</t>
  </si>
  <si>
    <t>4700</t>
  </si>
  <si>
    <t>D08</t>
  </si>
  <si>
    <t>Letchumanan a/l Rajan</t>
  </si>
  <si>
    <t>letchumanan.rajan@contoso.com.my</t>
  </si>
  <si>
    <t>CC-ADM-01</t>
  </si>
  <si>
    <t>4800</t>
  </si>
  <si>
    <t>CONTOSO SDN BHD — APPROVED VENDOR MASTER LIST</t>
  </si>
  <si>
    <t>SSM Reg No.</t>
  </si>
  <si>
    <t>Contact Person</t>
  </si>
  <si>
    <t>Email</t>
  </si>
  <si>
    <t>Phone</t>
  </si>
  <si>
    <t>Payment Terms</t>
  </si>
  <si>
    <t>1234567-A</t>
  </si>
  <si>
    <t>Tan Boon Huat</t>
  </si>
  <si>
    <t>accounts@apextech.com.my</t>
  </si>
  <si>
    <t>+603-2145-8800</t>
  </si>
  <si>
    <t>Net 30</t>
  </si>
  <si>
    <t>ACTIVE</t>
  </si>
  <si>
    <t>2345678-B</t>
  </si>
  <si>
    <t>Noraini Ismail</t>
  </si>
  <si>
    <t>noraini@globalsupply.com.my</t>
  </si>
  <si>
    <t>+603-3341-2200</t>
  </si>
  <si>
    <t>3456789-C</t>
  </si>
  <si>
    <t>Lee Kok Weng</t>
  </si>
  <si>
    <t>accounts@primeprint.com.my</t>
  </si>
  <si>
    <t>+603-5511-3300</t>
  </si>
  <si>
    <t>4567890-D</t>
  </si>
  <si>
    <t>Azlan bin Razali</t>
  </si>
  <si>
    <t>azlan@fasttrack.com.my</t>
  </si>
  <si>
    <t>+603-6622-4400</t>
  </si>
  <si>
    <t>Net 45</t>
  </si>
  <si>
    <t>5678901-E</t>
  </si>
  <si>
    <t>Siva Shankar</t>
  </si>
  <si>
    <t>finance@techcore.com.my</t>
  </si>
  <si>
    <t>+603-7733-5500</t>
  </si>
  <si>
    <t>6789012-F</t>
  </si>
  <si>
    <t>Cindy Loh</t>
  </si>
  <si>
    <t>cindy.loh@brightmedia.com.my</t>
  </si>
  <si>
    <t>+603-8844-6600</t>
  </si>
  <si>
    <t>7890123-G</t>
  </si>
  <si>
    <t>Fadzlan Hamid</t>
  </si>
  <si>
    <t>billing@safeguard.com.my</t>
  </si>
  <si>
    <t>+603-9955-7700</t>
  </si>
  <si>
    <t>8901234-H</t>
  </si>
  <si>
    <t>Rajan Pillai</t>
  </si>
  <si>
    <t>rajan@proclean.com.my</t>
  </si>
  <si>
    <t>+603-2134-8800</t>
  </si>
  <si>
    <t>Net 14</t>
  </si>
  <si>
    <t>9012345-I</t>
  </si>
  <si>
    <t>Goh Siew Ling</t>
  </si>
  <si>
    <t>accounts@officeplus.com.my</t>
  </si>
  <si>
    <t>+603-3215-9900</t>
  </si>
  <si>
    <t>0123456-J</t>
  </si>
  <si>
    <t>Maisarah Hamzah</t>
  </si>
  <si>
    <t>billing@cloudhost.com.my</t>
  </si>
  <si>
    <t>+603-4326-1100</t>
  </si>
  <si>
    <t>1234568-K</t>
  </si>
  <si>
    <t>Zainuri Zainol</t>
  </si>
  <si>
    <t>zainuri@meraki.com.my</t>
  </si>
  <si>
    <t>+603-5437-2200</t>
  </si>
  <si>
    <t>2345679-L</t>
  </si>
  <si>
    <t>Dr. Priya Nair</t>
  </si>
  <si>
    <t>priya@edutrain.com.my</t>
  </si>
  <si>
    <t>+603-6548-3300</t>
  </si>
  <si>
    <t>3456780-M</t>
  </si>
  <si>
    <t>Yusri bin Yahya</t>
  </si>
  <si>
    <t>accounts@horizon.com.my</t>
  </si>
  <si>
    <t>+603-7659-4400</t>
  </si>
  <si>
    <t>4567891-N</t>
  </si>
  <si>
    <t>Hannah Tan</t>
  </si>
  <si>
    <t>hannah.tan@digitalpath.com.my</t>
  </si>
  <si>
    <t>+603-8760-5500</t>
  </si>
  <si>
    <t>5678902-O</t>
  </si>
  <si>
    <t>Suresh Menon</t>
  </si>
  <si>
    <t>suresh@alliancesoft.com.my</t>
  </si>
  <si>
    <t>+603-9871-6600</t>
  </si>
  <si>
    <t>V016</t>
  </si>
  <si>
    <t>Quantum IT Services</t>
  </si>
  <si>
    <t>6789013-P</t>
  </si>
  <si>
    <t>Ahmad Khairul</t>
  </si>
  <si>
    <t>khairul@quantumit.com.my</t>
  </si>
  <si>
    <t>+603-2982-7700</t>
  </si>
  <si>
    <t>V017</t>
  </si>
  <si>
    <t>BlueLine Printing</t>
  </si>
  <si>
    <t>7890124-Q</t>
  </si>
  <si>
    <t>Chen Mei Ling</t>
  </si>
  <si>
    <t>meling@blueline.com.my</t>
  </si>
  <si>
    <t>+603-3093-8800</t>
  </si>
  <si>
    <t>V018</t>
  </si>
  <si>
    <t>Vista Transport</t>
  </si>
  <si>
    <t>8901235-R</t>
  </si>
  <si>
    <t>Hamidah Osman</t>
  </si>
  <si>
    <t>hamidah@vista.com.my</t>
  </si>
  <si>
    <t>+603-4104-9900</t>
  </si>
  <si>
    <t>V019</t>
  </si>
  <si>
    <t>PowerMax Solutions</t>
  </si>
  <si>
    <t>9012346-S</t>
  </si>
  <si>
    <t>David Fernandez</t>
  </si>
  <si>
    <t>david@powermax.com.my</t>
  </si>
  <si>
    <t>+603-5215-1100</t>
  </si>
  <si>
    <t>V020</t>
  </si>
  <si>
    <t>Maxima Catering Sdn Bhd</t>
  </si>
  <si>
    <t>0123457-T</t>
  </si>
  <si>
    <t>Rohani binti Ramli</t>
  </si>
  <si>
    <t>rohani@maxima.com.my</t>
  </si>
  <si>
    <t>+603-6326-2200</t>
  </si>
  <si>
    <t>V021</t>
  </si>
  <si>
    <t>NexGen Software</t>
  </si>
  <si>
    <t>1234569-U</t>
  </si>
  <si>
    <t>Karthik Nair</t>
  </si>
  <si>
    <t>karthik@nexgen.com.my</t>
  </si>
  <si>
    <t>+603-7437-3300</t>
  </si>
  <si>
    <t>V022</t>
  </si>
  <si>
    <t>StarAir Travel</t>
  </si>
  <si>
    <t>2345670-V</t>
  </si>
  <si>
    <t>Fiona Yap</t>
  </si>
  <si>
    <t>fiona.yap@starair.com.my</t>
  </si>
  <si>
    <t>+603-8548-4400</t>
  </si>
  <si>
    <t>V023</t>
  </si>
  <si>
    <t>MediCare Clinic Sdn Bhd</t>
  </si>
  <si>
    <t>3456781-W</t>
  </si>
  <si>
    <t>Dr. Shankar Kumar</t>
  </si>
  <si>
    <t>accounts@medicare.com.my</t>
  </si>
  <si>
    <t>+603-9659-5500</t>
  </si>
  <si>
    <t>V024</t>
  </si>
  <si>
    <t>GreenScape Landscaping</t>
  </si>
  <si>
    <t>4567892-X</t>
  </si>
  <si>
    <t>Mohd Azizi Hasim</t>
  </si>
  <si>
    <t>azizi@greenscape.com.my</t>
  </si>
  <si>
    <t>+603-2760-6600</t>
  </si>
  <si>
    <t>V025</t>
  </si>
  <si>
    <t>PerfectBind Stationery</t>
  </si>
  <si>
    <t>5678903-Y</t>
  </si>
  <si>
    <t>Lau Wai Kiong</t>
  </si>
  <si>
    <t>waikong@perfectbind.com.my</t>
  </si>
  <si>
    <t>+603-3871-7700</t>
  </si>
  <si>
    <t>V026</t>
  </si>
  <si>
    <t>TrustGuard Insurance</t>
  </si>
  <si>
    <t>6789014-Z</t>
  </si>
  <si>
    <t>Norzaini Abdullah</t>
  </si>
  <si>
    <t>norzaini@trustguard.com.my</t>
  </si>
  <si>
    <t>+603-4982-8800</t>
  </si>
  <si>
    <t>V027</t>
  </si>
  <si>
    <t>Innovate Design Studio</t>
  </si>
  <si>
    <t>7890125-A</t>
  </si>
  <si>
    <t>Sharifah Aini</t>
  </si>
  <si>
    <t>sharifah@innovate.com.my</t>
  </si>
  <si>
    <t>+603-5093-9900</t>
  </si>
  <si>
    <t>INACTIVE</t>
  </si>
  <si>
    <t>V028</t>
  </si>
  <si>
    <t>Metro Cleaning Services</t>
  </si>
  <si>
    <t>8901236-B</t>
  </si>
  <si>
    <t>Saravanan Murugiah</t>
  </si>
  <si>
    <t>saravanan@metro.com.my</t>
  </si>
  <si>
    <t>+603-6104-1100</t>
  </si>
  <si>
    <t>V029</t>
  </si>
  <si>
    <t>Prestige Hospitality</t>
  </si>
  <si>
    <t>9012347-C</t>
  </si>
  <si>
    <t>Zalina binti Zaidin</t>
  </si>
  <si>
    <t>zalina@prestige.com.my</t>
  </si>
  <si>
    <t>+603-7215-2200</t>
  </si>
  <si>
    <t>V030</t>
  </si>
  <si>
    <t>DataVault Sdn Bhd</t>
  </si>
  <si>
    <t>0123458-D</t>
  </si>
  <si>
    <t>Kenny Chew</t>
  </si>
  <si>
    <t>kenny.chew@datavault.com.my</t>
  </si>
  <si>
    <t>+603-8326-3300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</si>
</sst>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4"/>
      <color rgb="FFFFFFFF"/>
      <name val="Arial"/>
      <family val="2"/>
    </font>
    <font>
      <i/>
      <sz val="9"/>
      <color rgb="FFD6E4F7"/>
      <name val="Arial"/>
      <family val="2"/>
    </font>
    <font>
      <b/>
      <sz val="9"/>
      <color rgb="FF1B3A6B"/>
      <name val="Arial"/>
      <family val="2"/>
    </font>
    <font>
      <sz val="9"/>
      <color rgb="FF1A1A2E"/>
      <name val="Arial"/>
      <family val="2"/>
    </font>
    <font>
      <sz val="9"/>
      <color rgb="FFC0392B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1D6F42"/>
      <name val="Arial"/>
      <family val="2"/>
    </font>
    <font>
      <b/>
      <sz val="13"/>
      <color rgb="FFFFFFFF"/>
      <name val="Arial"/>
      <family val="2"/>
    </font>
    <font>
      <b/>
      <sz val="9"/>
      <color rgb="FF2E5FA3"/>
      <name val="Arial"/>
      <family val="2"/>
    </font>
    <font>
      <b/>
      <sz val="9"/>
      <color rgb="FF1D6F42"/>
      <name val="Arial"/>
      <family val="2"/>
    </font>
    <font>
      <b/>
      <sz val="9"/>
      <color rgb="FF0D7C8F"/>
      <name val="Arial"/>
      <family val="2"/>
    </font>
    <font>
      <b/>
      <sz val="9"/>
      <color rgb="FFD4600A"/>
      <name val="Arial"/>
      <family val="2"/>
    </font>
    <font>
      <b/>
      <sz val="9"/>
      <color rgb="FF8B4513"/>
      <name val="Arial"/>
      <family val="2"/>
    </font>
    <font>
      <b/>
      <sz val="9"/>
      <color rgb="FFC0392B"/>
      <name val="Arial"/>
      <family val="2"/>
    </font>
    <font>
      <b/>
      <sz val="9"/>
      <color rgb="FF555555"/>
      <name val="Arial"/>
      <family val="2"/>
    </font>
    <font>
      <b/>
      <sz val="12"/>
      <color rgb="FFFFFFFF"/>
      <name val="Arial"/>
      <family val="2"/>
    </font>
    <font>
      <b/>
      <sz val="8"/>
      <color rgb="FFC0392B"/>
      <name val="Arial"/>
      <family val="2"/>
    </font>
    <font>
      <sz val="8"/>
      <color rgb="FF1A1A2E"/>
      <name val="Arial"/>
      <family val="2"/>
    </font>
    <font>
      <b/>
      <i/>
      <sz val="9"/>
      <color rgb="FF1B3A6B"/>
      <name val="Arial"/>
      <family val="2"/>
    </font>
    <font>
      <i/>
      <sz val="9"/>
      <color rgb="FF1A1A2E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5FA3"/>
        <bgColor rgb="FF0D7C8F"/>
      </patternFill>
    </fill>
    <fill>
      <patternFill patternType="solid">
        <fgColor rgb="FFD6E4F7"/>
        <bgColor rgb="FFE0E7EF"/>
      </patternFill>
    </fill>
    <fill>
      <patternFill patternType="solid">
        <fgColor rgb="FFFFFFFF"/>
        <bgColor rgb="FFF5F7FA"/>
      </patternFill>
    </fill>
    <fill>
      <patternFill patternType="solid">
        <fgColor rgb="FFF5F7FA"/>
        <bgColor rgb="FFFFFFFF"/>
      </patternFill>
    </fill>
    <fill>
      <patternFill patternType="solid">
        <fgColor rgb="FFFEF3E2"/>
        <bgColor rgb="FFFFF3E0"/>
      </patternFill>
    </fill>
    <fill>
      <patternFill patternType="solid">
        <fgColor rgb="FFFDEDEC"/>
        <bgColor rgb="FFFEF3E2"/>
      </patternFill>
    </fill>
    <fill>
      <patternFill patternType="solid">
        <fgColor rgb="FFE0E7EF"/>
        <bgColor rgb="FFD6E4F7"/>
      </patternFill>
    </fill>
    <fill>
      <patternFill patternType="solid">
        <fgColor rgb="FFE8F5ED"/>
        <bgColor rgb="FFE0F4F7"/>
      </patternFill>
    </fill>
    <fill>
      <patternFill patternType="solid">
        <fgColor rgb="FFE0F4F7"/>
        <bgColor rgb="FFE8F0FB"/>
      </patternFill>
    </fill>
    <fill>
      <patternFill patternType="solid">
        <fgColor rgb="FFE8F0FB"/>
        <bgColor rgb="FFE0F4F7"/>
      </patternFill>
    </fill>
    <fill>
      <patternFill patternType="solid">
        <fgColor rgb="FFFFF3E0"/>
        <bgColor rgb="FFFEF3E2"/>
      </patternFill>
    </fill>
  </fills>
  <borders count="8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2E5FA3"/>
      </left>
      <right style="thin">
        <color rgb="FF2E5FA3"/>
      </right>
      <top style="thin">
        <color rgb="FF2E5FA3"/>
      </top>
      <bottom style="thin">
        <color rgb="FF2E5FA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>
      <left style="medium">
        <color rgb="FFF4A700"/>
      </left>
      <right style="medium">
        <color rgb="FFF4A700"/>
      </right>
      <top style="medium">
        <color rgb="FFF4A700"/>
      </top>
      <bottom style="medium">
        <color rgb="FFF4A700"/>
      </bottom>
      <diagonal/>
    </border>
    <border>
      <left style="thin">
        <color rgb="FFF4A700"/>
      </left>
      <right style="thin">
        <color rgb="FFF4A700"/>
      </right>
      <top style="thin">
        <color rgb="FFF4A700"/>
      </top>
      <bottom style="thin">
        <color rgb="FFF4A700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3" fontId="7" fillId="8" borderId="3" xfId="0" applyNumberFormat="1" applyFont="1" applyFill="1" applyBorder="1" applyAlignment="1">
      <alignment horizontal="right" vertical="center"/>
    </xf>
    <xf numFmtId="3" fontId="6" fillId="5" borderId="3" xfId="0" applyNumberFormat="1" applyFont="1" applyFill="1" applyBorder="1" applyAlignment="1">
      <alignment horizontal="right" vertical="center"/>
    </xf>
    <xf numFmtId="3" fontId="7" fillId="5" borderId="3" xfId="0" applyNumberFormat="1" applyFont="1" applyFill="1" applyBorder="1" applyAlignment="1">
      <alignment horizontal="right" vertical="center"/>
    </xf>
    <xf numFmtId="3" fontId="8" fillId="5" borderId="3" xfId="0" applyNumberFormat="1" applyFont="1" applyFill="1" applyBorder="1" applyAlignment="1">
      <alignment horizontal="right" vertical="center"/>
    </xf>
    <xf numFmtId="3" fontId="9" fillId="5" borderId="3" xfId="0" applyNumberFormat="1" applyFont="1" applyFill="1" applyBorder="1" applyAlignment="1">
      <alignment horizontal="right" vertical="center"/>
    </xf>
    <xf numFmtId="164" fontId="9" fillId="5" borderId="3" xfId="0" applyNumberFormat="1" applyFont="1" applyFill="1" applyBorder="1" applyAlignment="1">
      <alignment horizontal="right" vertical="center"/>
    </xf>
    <xf numFmtId="0" fontId="6" fillId="6" borderId="3" xfId="0" applyFont="1" applyFill="1" applyBorder="1" applyAlignment="1">
      <alignment horizontal="left" vertical="center"/>
    </xf>
    <xf numFmtId="3" fontId="8" fillId="6" borderId="3" xfId="0" applyNumberFormat="1" applyFont="1" applyFill="1" applyBorder="1" applyAlignment="1">
      <alignment horizontal="right" vertical="center"/>
    </xf>
    <xf numFmtId="3" fontId="9" fillId="6" borderId="3" xfId="0" applyNumberFormat="1" applyFont="1" applyFill="1" applyBorder="1" applyAlignment="1">
      <alignment horizontal="right" vertical="center"/>
    </xf>
    <xf numFmtId="164" fontId="9" fillId="6" borderId="3" xfId="0" applyNumberFormat="1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left" vertical="center"/>
    </xf>
    <xf numFmtId="3" fontId="2" fillId="3" borderId="4" xfId="0" applyNumberFormat="1" applyFont="1" applyFill="1" applyBorder="1" applyAlignment="1">
      <alignment horizontal="right" vertical="center"/>
    </xf>
    <xf numFmtId="164" fontId="2" fillId="3" borderId="4" xfId="0" applyNumberFormat="1" applyFont="1" applyFill="1" applyBorder="1" applyAlignment="1">
      <alignment horizontal="right" vertical="center"/>
    </xf>
    <xf numFmtId="0" fontId="5" fillId="9" borderId="3" xfId="0" applyFont="1" applyFill="1" applyBorder="1" applyAlignment="1">
      <alignment horizontal="left" vertical="center"/>
    </xf>
    <xf numFmtId="3" fontId="10" fillId="5" borderId="3" xfId="0" applyNumberFormat="1" applyFont="1" applyFill="1" applyBorder="1" applyAlignment="1">
      <alignment horizontal="right" vertical="center"/>
    </xf>
    <xf numFmtId="3" fontId="10" fillId="10" borderId="3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left" vertical="center"/>
    </xf>
    <xf numFmtId="14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4" fontId="6" fillId="5" borderId="1" xfId="0" applyNumberFormat="1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4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4" fontId="6" fillId="6" borderId="1" xfId="0" applyNumberFormat="1" applyFont="1" applyFill="1" applyBorder="1" applyAlignment="1">
      <alignment horizontal="right" vertical="center"/>
    </xf>
    <xf numFmtId="0" fontId="14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4" fontId="2" fillId="2" borderId="6" xfId="0" applyNumberFormat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20" fillId="8" borderId="7" xfId="0" applyNumberFormat="1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left" vertical="center"/>
    </xf>
    <xf numFmtId="14" fontId="21" fillId="5" borderId="7" xfId="0" applyNumberFormat="1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left" vertical="center"/>
    </xf>
    <xf numFmtId="14" fontId="21" fillId="6" borderId="7" xfId="0" applyNumberFormat="1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left" vertical="center"/>
    </xf>
    <xf numFmtId="14" fontId="21" fillId="4" borderId="7" xfId="0" applyNumberFormat="1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3" fontId="6" fillId="4" borderId="3" xfId="0" applyNumberFormat="1" applyFont="1" applyFill="1" applyBorder="1" applyAlignment="1">
      <alignment horizontal="right" vertical="center"/>
    </xf>
    <xf numFmtId="0" fontId="6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0" fontId="23" fillId="8" borderId="3" xfId="0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left" vertical="center"/>
    </xf>
    <xf numFmtId="0" fontId="17" fillId="8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7FA"/>
      <rgbColor rgb="FFFF00FF"/>
      <rgbColor rgb="FF00FFFF"/>
      <rgbColor rgb="FF800000"/>
      <rgbColor rgb="FF008000"/>
      <rgbColor rgb="FF000080"/>
      <rgbColor rgb="FF808000"/>
      <rgbColor rgb="FF800080"/>
      <rgbColor rgb="FF0D7C8F"/>
      <rgbColor rgb="FFCCCCCC"/>
      <rgbColor rgb="FF808080"/>
      <rgbColor rgb="FF9999FF"/>
      <rgbColor rgb="FFC0392B"/>
      <rgbColor rgb="FFFFF3E0"/>
      <rgbColor rgb="FFE0F4F7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1D6F42"/>
      <rgbColor rgb="FF0000FF"/>
      <rgbColor rgb="FF00CCFF"/>
      <rgbColor rgb="FFE8F5ED"/>
      <rgbColor rgb="FFE0E7EF"/>
      <rgbColor rgb="FFFEF3E2"/>
      <rgbColor rgb="FFE8F0FB"/>
      <rgbColor rgb="FFFDEDEC"/>
      <rgbColor rgb="FFEEEEEE"/>
      <rgbColor rgb="FFDDDDDD"/>
      <rgbColor rgb="FF3366FF"/>
      <rgbColor rgb="FF33CCCC"/>
      <rgbColor rgb="FF99CC00"/>
      <rgbColor rgb="FFFFCC00"/>
      <rgbColor rgb="FFF4A700"/>
      <rgbColor rgb="FFD4600A"/>
      <rgbColor rgb="FF555555"/>
      <rgbColor rgb="FF969696"/>
      <rgbColor rgb="FF1B3A6B"/>
      <rgbColor rgb="FF339966"/>
      <rgbColor rgb="FF003300"/>
      <rgbColor rgb="FF333300"/>
      <rgbColor rgb="FF8B4513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P1"/>
    </sheetView>
  </sheetViews>
  <sheetFormatPr defaultColWidth="8.6640625" defaultRowHeight="14.4" x14ac:dyDescent="0.3"/>
  <cols>
    <col min="1" max="1" width="28" customWidth="1"/>
    <col min="2" max="2" width="22" customWidth="1"/>
    <col min="3" max="14" width="12" customWidth="1"/>
    <col min="15" max="17" width="20" customWidth="1"/>
    <col min="18" max="18" width="12" customWidth="1"/>
  </cols>
  <sheetData>
    <row r="1" spans="1:18" ht="27.75" customHeight="1" x14ac:dyDescent="0.3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18" ht="18" customHeight="1" x14ac:dyDescent="0.3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8" ht="27.7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</row>
    <row r="4" spans="1:18" ht="18" customHeight="1" x14ac:dyDescent="0.3">
      <c r="A4" s="2" t="s">
        <v>20</v>
      </c>
      <c r="B4" s="3" t="s">
        <v>21</v>
      </c>
      <c r="C4" s="4">
        <v>23654</v>
      </c>
      <c r="D4" s="5">
        <v>19404</v>
      </c>
      <c r="E4" s="5">
        <v>20698</v>
      </c>
      <c r="F4" s="4">
        <v>24288</v>
      </c>
      <c r="G4" s="4">
        <v>28037</v>
      </c>
      <c r="H4" s="4">
        <v>28987</v>
      </c>
      <c r="I4" s="5">
        <v>20064</v>
      </c>
      <c r="J4" s="5">
        <v>22810</v>
      </c>
      <c r="K4" s="4">
        <v>28512</v>
      </c>
      <c r="L4" s="4">
        <v>29700</v>
      </c>
      <c r="M4" s="4">
        <v>30888</v>
      </c>
      <c r="N4" s="6">
        <v>23232</v>
      </c>
      <c r="O4" s="7">
        <v>264000</v>
      </c>
      <c r="P4" s="7">
        <v>300274</v>
      </c>
      <c r="Q4" s="8">
        <f>P4-O4</f>
        <v>36274</v>
      </c>
      <c r="R4" s="9">
        <f>IF(O4=0,0,(P4-O4)/O4)</f>
        <v>0.13740151515151516</v>
      </c>
    </row>
    <row r="5" spans="1:18" ht="18" customHeight="1" x14ac:dyDescent="0.3">
      <c r="A5" s="2"/>
      <c r="B5" s="10" t="s">
        <v>22</v>
      </c>
      <c r="C5" s="4">
        <v>12902</v>
      </c>
      <c r="D5" s="5">
        <v>10584</v>
      </c>
      <c r="E5" s="5">
        <v>11290</v>
      </c>
      <c r="F5" s="4">
        <v>13248</v>
      </c>
      <c r="G5" s="4">
        <v>15293</v>
      </c>
      <c r="H5" s="4">
        <v>15811</v>
      </c>
      <c r="I5" s="5">
        <v>10944</v>
      </c>
      <c r="J5" s="6">
        <v>12442</v>
      </c>
      <c r="K5" s="4">
        <v>15552</v>
      </c>
      <c r="L5" s="4">
        <v>16200</v>
      </c>
      <c r="M5" s="4">
        <v>16848</v>
      </c>
      <c r="N5" s="6">
        <v>12672</v>
      </c>
      <c r="O5" s="11">
        <v>144000</v>
      </c>
      <c r="P5" s="11">
        <v>163786</v>
      </c>
      <c r="Q5" s="12">
        <f>P5-O5</f>
        <v>19786</v>
      </c>
      <c r="R5" s="13">
        <f>IF(O5=0,0,(P5-O5)/O5)</f>
        <v>0.13740277777777779</v>
      </c>
    </row>
    <row r="6" spans="1:18" ht="19.5" customHeight="1" x14ac:dyDescent="0.3">
      <c r="A6" s="14" t="s">
        <v>23</v>
      </c>
      <c r="B6" s="14" t="s">
        <v>24</v>
      </c>
      <c r="C6" s="15">
        <f t="shared" ref="C6:Q6" si="0">SUM(C4:C5)</f>
        <v>36556</v>
      </c>
      <c r="D6" s="15">
        <f t="shared" si="0"/>
        <v>29988</v>
      </c>
      <c r="E6" s="15">
        <f t="shared" si="0"/>
        <v>31988</v>
      </c>
      <c r="F6" s="15">
        <f t="shared" si="0"/>
        <v>37536</v>
      </c>
      <c r="G6" s="15">
        <f t="shared" si="0"/>
        <v>43330</v>
      </c>
      <c r="H6" s="15">
        <f t="shared" si="0"/>
        <v>44798</v>
      </c>
      <c r="I6" s="15">
        <f t="shared" si="0"/>
        <v>31008</v>
      </c>
      <c r="J6" s="15">
        <f t="shared" si="0"/>
        <v>35252</v>
      </c>
      <c r="K6" s="15">
        <f t="shared" si="0"/>
        <v>44064</v>
      </c>
      <c r="L6" s="15">
        <f t="shared" si="0"/>
        <v>45900</v>
      </c>
      <c r="M6" s="15">
        <f t="shared" si="0"/>
        <v>47736</v>
      </c>
      <c r="N6" s="15">
        <f t="shared" si="0"/>
        <v>35904</v>
      </c>
      <c r="O6" s="15">
        <f t="shared" si="0"/>
        <v>408000</v>
      </c>
      <c r="P6" s="15">
        <f t="shared" si="0"/>
        <v>464060</v>
      </c>
      <c r="Q6" s="15">
        <f t="shared" si="0"/>
        <v>56060</v>
      </c>
      <c r="R6" s="16">
        <f>IF(O6=0,0,(P6-O6)/O6)</f>
        <v>0.13740196078431371</v>
      </c>
    </row>
    <row r="8" spans="1:18" ht="18" customHeight="1" x14ac:dyDescent="0.3">
      <c r="A8" s="17" t="s">
        <v>25</v>
      </c>
      <c r="B8" s="3" t="s">
        <v>21</v>
      </c>
      <c r="C8" s="5">
        <v>40973</v>
      </c>
      <c r="D8" s="5">
        <v>36590</v>
      </c>
      <c r="E8" s="5">
        <v>42662</v>
      </c>
      <c r="F8" s="5">
        <v>41395</v>
      </c>
      <c r="G8" s="5">
        <v>45619</v>
      </c>
      <c r="H8" s="5">
        <v>47520</v>
      </c>
      <c r="I8" s="5">
        <v>43085</v>
      </c>
      <c r="J8" s="5">
        <v>41395</v>
      </c>
      <c r="K8" s="5">
        <v>47995</v>
      </c>
      <c r="L8" s="5">
        <v>47045</v>
      </c>
      <c r="M8" s="5">
        <v>48946</v>
      </c>
      <c r="N8" s="5">
        <v>41395</v>
      </c>
      <c r="O8" s="7">
        <v>528000</v>
      </c>
      <c r="P8" s="7">
        <v>524621</v>
      </c>
      <c r="Q8" s="8">
        <f>P8-O8</f>
        <v>-3379</v>
      </c>
      <c r="R8" s="9">
        <f>IF(O8=0,0,(P8-O8)/O8)</f>
        <v>-6.3996212121212124E-3</v>
      </c>
    </row>
    <row r="9" spans="1:18" ht="18" customHeight="1" x14ac:dyDescent="0.3">
      <c r="A9" s="17"/>
      <c r="B9" s="10" t="s">
        <v>22</v>
      </c>
      <c r="C9" s="5">
        <v>22349</v>
      </c>
      <c r="D9" s="5">
        <v>19958</v>
      </c>
      <c r="E9" s="5">
        <v>23270</v>
      </c>
      <c r="F9" s="5">
        <v>22579</v>
      </c>
      <c r="G9" s="5">
        <v>24883</v>
      </c>
      <c r="H9" s="5">
        <v>25920</v>
      </c>
      <c r="I9" s="5">
        <v>23501</v>
      </c>
      <c r="J9" s="5">
        <v>22579</v>
      </c>
      <c r="K9" s="5">
        <v>26179</v>
      </c>
      <c r="L9" s="5">
        <v>25661</v>
      </c>
      <c r="M9" s="5">
        <v>26698</v>
      </c>
      <c r="N9" s="5">
        <v>22579</v>
      </c>
      <c r="O9" s="11">
        <v>288000</v>
      </c>
      <c r="P9" s="11">
        <v>286157</v>
      </c>
      <c r="Q9" s="12">
        <f>P9-O9</f>
        <v>-1843</v>
      </c>
      <c r="R9" s="13">
        <f>IF(O9=0,0,(P9-O9)/O9)</f>
        <v>-6.3993055555555556E-3</v>
      </c>
    </row>
    <row r="10" spans="1:18" ht="18" customHeight="1" x14ac:dyDescent="0.3">
      <c r="A10" s="17"/>
      <c r="B10" s="3" t="s">
        <v>26</v>
      </c>
      <c r="C10" s="5">
        <v>11174</v>
      </c>
      <c r="D10" s="5">
        <v>9979</v>
      </c>
      <c r="E10" s="5">
        <v>11635</v>
      </c>
      <c r="F10" s="5">
        <v>11290</v>
      </c>
      <c r="G10" s="5">
        <v>12442</v>
      </c>
      <c r="H10" s="5">
        <v>12960</v>
      </c>
      <c r="I10" s="5">
        <v>11750</v>
      </c>
      <c r="J10" s="5">
        <v>11290</v>
      </c>
      <c r="K10" s="5">
        <v>13090</v>
      </c>
      <c r="L10" s="5">
        <v>12830</v>
      </c>
      <c r="M10" s="5">
        <v>13349</v>
      </c>
      <c r="N10" s="5">
        <v>11290</v>
      </c>
      <c r="O10" s="7">
        <v>144000</v>
      </c>
      <c r="P10" s="7">
        <v>143078</v>
      </c>
      <c r="Q10" s="8">
        <f>P10-O10</f>
        <v>-922</v>
      </c>
      <c r="R10" s="9">
        <f>IF(O10=0,0,(P10-O10)/O10)</f>
        <v>-6.4027777777777781E-3</v>
      </c>
    </row>
    <row r="11" spans="1:18" ht="19.5" customHeight="1" x14ac:dyDescent="0.3">
      <c r="A11" s="14" t="s">
        <v>27</v>
      </c>
      <c r="B11" s="14" t="s">
        <v>24</v>
      </c>
      <c r="C11" s="15">
        <f t="shared" ref="C11:Q11" si="1">SUM(C8:C10)</f>
        <v>74496</v>
      </c>
      <c r="D11" s="15">
        <f t="shared" si="1"/>
        <v>66527</v>
      </c>
      <c r="E11" s="15">
        <f t="shared" si="1"/>
        <v>77567</v>
      </c>
      <c r="F11" s="15">
        <f t="shared" si="1"/>
        <v>75264</v>
      </c>
      <c r="G11" s="15">
        <f t="shared" si="1"/>
        <v>82944</v>
      </c>
      <c r="H11" s="15">
        <f t="shared" si="1"/>
        <v>86400</v>
      </c>
      <c r="I11" s="15">
        <f t="shared" si="1"/>
        <v>78336</v>
      </c>
      <c r="J11" s="15">
        <f t="shared" si="1"/>
        <v>75264</v>
      </c>
      <c r="K11" s="15">
        <f t="shared" si="1"/>
        <v>87264</v>
      </c>
      <c r="L11" s="15">
        <f t="shared" si="1"/>
        <v>85536</v>
      </c>
      <c r="M11" s="15">
        <f t="shared" si="1"/>
        <v>88993</v>
      </c>
      <c r="N11" s="15">
        <f t="shared" si="1"/>
        <v>75264</v>
      </c>
      <c r="O11" s="15">
        <f t="shared" si="1"/>
        <v>960000</v>
      </c>
      <c r="P11" s="15">
        <f t="shared" si="1"/>
        <v>953856</v>
      </c>
      <c r="Q11" s="15">
        <f t="shared" si="1"/>
        <v>-6144</v>
      </c>
      <c r="R11" s="16">
        <f>IF(O11=0,0,(P11-O11)/O11)</f>
        <v>-6.4000000000000003E-3</v>
      </c>
    </row>
    <row r="13" spans="1:18" ht="18" customHeight="1" x14ac:dyDescent="0.3">
      <c r="A13" s="2" t="s">
        <v>28</v>
      </c>
      <c r="B13" s="3" t="s">
        <v>21</v>
      </c>
      <c r="C13" s="5">
        <v>15048</v>
      </c>
      <c r="D13" s="18">
        <v>12751</v>
      </c>
      <c r="E13" s="5">
        <v>15206</v>
      </c>
      <c r="F13" s="18">
        <v>14731</v>
      </c>
      <c r="G13" s="5">
        <v>16929</v>
      </c>
      <c r="H13" s="18">
        <v>16751</v>
      </c>
      <c r="I13" s="19">
        <v>14414</v>
      </c>
      <c r="J13" s="18">
        <v>14731</v>
      </c>
      <c r="K13" s="5">
        <v>17285</v>
      </c>
      <c r="L13" s="5">
        <v>16929</v>
      </c>
      <c r="M13" s="5">
        <v>17107</v>
      </c>
      <c r="N13" s="18">
        <v>14890</v>
      </c>
      <c r="O13" s="7">
        <v>198000</v>
      </c>
      <c r="P13" s="7">
        <v>186773</v>
      </c>
      <c r="Q13" s="8">
        <f>P13-O13</f>
        <v>-11227</v>
      </c>
      <c r="R13" s="9">
        <f>IF(O13=0,0,(P13-O13)/O13)</f>
        <v>-5.6702020202020205E-2</v>
      </c>
    </row>
    <row r="14" spans="1:18" ht="18" customHeight="1" x14ac:dyDescent="0.3">
      <c r="A14" s="2"/>
      <c r="B14" s="10" t="s">
        <v>22</v>
      </c>
      <c r="C14" s="5">
        <v>8208</v>
      </c>
      <c r="D14" s="19">
        <v>6955</v>
      </c>
      <c r="E14" s="5">
        <v>8294</v>
      </c>
      <c r="F14" s="18">
        <v>8035</v>
      </c>
      <c r="G14" s="5">
        <v>9234</v>
      </c>
      <c r="H14" s="18">
        <v>9137</v>
      </c>
      <c r="I14" s="19">
        <v>7862</v>
      </c>
      <c r="J14" s="18">
        <v>8035</v>
      </c>
      <c r="K14" s="5">
        <v>9428</v>
      </c>
      <c r="L14" s="5">
        <v>9234</v>
      </c>
      <c r="M14" s="5">
        <v>9331</v>
      </c>
      <c r="N14" s="18">
        <v>8122</v>
      </c>
      <c r="O14" s="11">
        <v>108000</v>
      </c>
      <c r="P14" s="11">
        <v>101876</v>
      </c>
      <c r="Q14" s="12">
        <f>P14-O14</f>
        <v>-6124</v>
      </c>
      <c r="R14" s="13">
        <f>IF(O14=0,0,(P14-O14)/O14)</f>
        <v>-5.6703703703703701E-2</v>
      </c>
    </row>
    <row r="15" spans="1:18" ht="19.5" customHeight="1" x14ac:dyDescent="0.3">
      <c r="A15" s="14" t="s">
        <v>29</v>
      </c>
      <c r="B15" s="14" t="s">
        <v>24</v>
      </c>
      <c r="C15" s="15">
        <f t="shared" ref="C15:Q15" si="2">SUM(C13:C14)</f>
        <v>23256</v>
      </c>
      <c r="D15" s="15">
        <f t="shared" si="2"/>
        <v>19706</v>
      </c>
      <c r="E15" s="15">
        <f t="shared" si="2"/>
        <v>23500</v>
      </c>
      <c r="F15" s="15">
        <f t="shared" si="2"/>
        <v>22766</v>
      </c>
      <c r="G15" s="15">
        <f t="shared" si="2"/>
        <v>26163</v>
      </c>
      <c r="H15" s="15">
        <f t="shared" si="2"/>
        <v>25888</v>
      </c>
      <c r="I15" s="15">
        <f t="shared" si="2"/>
        <v>22276</v>
      </c>
      <c r="J15" s="15">
        <f t="shared" si="2"/>
        <v>22766</v>
      </c>
      <c r="K15" s="15">
        <f t="shared" si="2"/>
        <v>26713</v>
      </c>
      <c r="L15" s="15">
        <f t="shared" si="2"/>
        <v>26163</v>
      </c>
      <c r="M15" s="15">
        <f t="shared" si="2"/>
        <v>26438</v>
      </c>
      <c r="N15" s="15">
        <f t="shared" si="2"/>
        <v>23012</v>
      </c>
      <c r="O15" s="15">
        <f t="shared" si="2"/>
        <v>306000</v>
      </c>
      <c r="P15" s="15">
        <f t="shared" si="2"/>
        <v>288649</v>
      </c>
      <c r="Q15" s="15">
        <f t="shared" si="2"/>
        <v>-17351</v>
      </c>
      <c r="R15" s="16">
        <f>IF(O15=0,0,(P15-O15)/O15)</f>
        <v>-5.670261437908497E-2</v>
      </c>
    </row>
    <row r="17" spans="1:18" ht="18" customHeight="1" x14ac:dyDescent="0.3">
      <c r="A17" s="17" t="s">
        <v>30</v>
      </c>
      <c r="B17" s="3" t="s">
        <v>21</v>
      </c>
      <c r="C17" s="5">
        <v>13464</v>
      </c>
      <c r="D17" s="5">
        <v>11550</v>
      </c>
      <c r="E17" s="5">
        <v>12936</v>
      </c>
      <c r="F17" s="5">
        <v>13596</v>
      </c>
      <c r="G17" s="5">
        <v>15592</v>
      </c>
      <c r="H17" s="5">
        <v>14998</v>
      </c>
      <c r="I17" s="5">
        <v>13068</v>
      </c>
      <c r="J17" s="5">
        <v>13464</v>
      </c>
      <c r="K17" s="5">
        <v>15444</v>
      </c>
      <c r="L17" s="5">
        <v>15741</v>
      </c>
      <c r="M17" s="5">
        <v>16038</v>
      </c>
      <c r="N17" s="5">
        <v>13464</v>
      </c>
      <c r="O17" s="7">
        <v>165000</v>
      </c>
      <c r="P17" s="7">
        <v>169356</v>
      </c>
      <c r="Q17" s="8">
        <f>P17-O17</f>
        <v>4356</v>
      </c>
      <c r="R17" s="9">
        <f>IF(O17=0,0,(P17-O17)/O17)</f>
        <v>2.64E-2</v>
      </c>
    </row>
    <row r="18" spans="1:18" ht="18" customHeight="1" x14ac:dyDescent="0.3">
      <c r="A18" s="17"/>
      <c r="B18" s="10" t="s">
        <v>22</v>
      </c>
      <c r="C18" s="5">
        <v>7344</v>
      </c>
      <c r="D18" s="5">
        <v>6300</v>
      </c>
      <c r="E18" s="5">
        <v>7056</v>
      </c>
      <c r="F18" s="5">
        <v>7416</v>
      </c>
      <c r="G18" s="5">
        <v>8505</v>
      </c>
      <c r="H18" s="5">
        <v>8181</v>
      </c>
      <c r="I18" s="5">
        <v>7128</v>
      </c>
      <c r="J18" s="5">
        <v>7344</v>
      </c>
      <c r="K18" s="5">
        <v>8424</v>
      </c>
      <c r="L18" s="5">
        <v>8586</v>
      </c>
      <c r="M18" s="5">
        <v>8748</v>
      </c>
      <c r="N18" s="5">
        <v>7344</v>
      </c>
      <c r="O18" s="11">
        <v>90000</v>
      </c>
      <c r="P18" s="11">
        <v>92376</v>
      </c>
      <c r="Q18" s="12">
        <f>P18-O18</f>
        <v>2376</v>
      </c>
      <c r="R18" s="13">
        <f>IF(O18=0,0,(P18-O18)/O18)</f>
        <v>2.64E-2</v>
      </c>
    </row>
    <row r="19" spans="1:18" ht="19.5" customHeight="1" x14ac:dyDescent="0.3">
      <c r="A19" s="14" t="s">
        <v>31</v>
      </c>
      <c r="B19" s="14" t="s">
        <v>24</v>
      </c>
      <c r="C19" s="15">
        <f t="shared" ref="C19:Q19" si="3">SUM(C17:C18)</f>
        <v>20808</v>
      </c>
      <c r="D19" s="15">
        <f t="shared" si="3"/>
        <v>17850</v>
      </c>
      <c r="E19" s="15">
        <f t="shared" si="3"/>
        <v>19992</v>
      </c>
      <c r="F19" s="15">
        <f t="shared" si="3"/>
        <v>21012</v>
      </c>
      <c r="G19" s="15">
        <f t="shared" si="3"/>
        <v>24097</v>
      </c>
      <c r="H19" s="15">
        <f t="shared" si="3"/>
        <v>23179</v>
      </c>
      <c r="I19" s="15">
        <f t="shared" si="3"/>
        <v>20196</v>
      </c>
      <c r="J19" s="15">
        <f t="shared" si="3"/>
        <v>20808</v>
      </c>
      <c r="K19" s="15">
        <f t="shared" si="3"/>
        <v>23868</v>
      </c>
      <c r="L19" s="15">
        <f t="shared" si="3"/>
        <v>24327</v>
      </c>
      <c r="M19" s="15">
        <f t="shared" si="3"/>
        <v>24786</v>
      </c>
      <c r="N19" s="15">
        <f t="shared" si="3"/>
        <v>20808</v>
      </c>
      <c r="O19" s="15">
        <f t="shared" si="3"/>
        <v>255000</v>
      </c>
      <c r="P19" s="15">
        <f t="shared" si="3"/>
        <v>261732</v>
      </c>
      <c r="Q19" s="15">
        <f t="shared" si="3"/>
        <v>6732</v>
      </c>
      <c r="R19" s="16">
        <f>IF(O19=0,0,(P19-O19)/O19)</f>
        <v>2.64E-2</v>
      </c>
    </row>
    <row r="21" spans="1:18" ht="18" customHeight="1" x14ac:dyDescent="0.3">
      <c r="A21" s="2" t="s">
        <v>32</v>
      </c>
      <c r="B21" s="3" t="s">
        <v>21</v>
      </c>
      <c r="C21" s="5">
        <v>25661</v>
      </c>
      <c r="D21" s="4">
        <v>23285</v>
      </c>
      <c r="E21" s="5">
        <v>24948</v>
      </c>
      <c r="F21" s="5">
        <v>23285</v>
      </c>
      <c r="G21" s="6">
        <v>29403</v>
      </c>
      <c r="H21" s="4">
        <v>30740</v>
      </c>
      <c r="I21" s="5">
        <v>25661</v>
      </c>
      <c r="J21" s="5">
        <v>24948</v>
      </c>
      <c r="K21" s="4">
        <v>31541</v>
      </c>
      <c r="L21" s="4">
        <v>32076</v>
      </c>
      <c r="M21" s="4">
        <v>29938</v>
      </c>
      <c r="N21" s="6">
        <v>25898</v>
      </c>
      <c r="O21" s="7">
        <v>297000</v>
      </c>
      <c r="P21" s="7">
        <v>327383</v>
      </c>
      <c r="Q21" s="8">
        <f>P21-O21</f>
        <v>30383</v>
      </c>
      <c r="R21" s="9">
        <f>IF(O21=0,0,(P21-O21)/O21)</f>
        <v>0.10229966329966329</v>
      </c>
    </row>
    <row r="22" spans="1:18" ht="18" customHeight="1" x14ac:dyDescent="0.3">
      <c r="A22" s="2"/>
      <c r="B22" s="10" t="s">
        <v>22</v>
      </c>
      <c r="C22" s="5">
        <v>13997</v>
      </c>
      <c r="D22" s="4">
        <v>12701</v>
      </c>
      <c r="E22" s="5">
        <v>13608</v>
      </c>
      <c r="F22" s="5">
        <v>12701</v>
      </c>
      <c r="G22" s="6">
        <v>16038</v>
      </c>
      <c r="H22" s="4">
        <v>16767</v>
      </c>
      <c r="I22" s="5">
        <v>13997</v>
      </c>
      <c r="J22" s="5">
        <v>13608</v>
      </c>
      <c r="K22" s="4">
        <v>17204</v>
      </c>
      <c r="L22" s="4">
        <v>17496</v>
      </c>
      <c r="M22" s="4">
        <v>16330</v>
      </c>
      <c r="N22" s="6">
        <v>14126</v>
      </c>
      <c r="O22" s="11">
        <v>162000</v>
      </c>
      <c r="P22" s="11">
        <v>178573</v>
      </c>
      <c r="Q22" s="12">
        <f>P22-O22</f>
        <v>16573</v>
      </c>
      <c r="R22" s="13">
        <f>IF(O22=0,0,(P22-O22)/O22)</f>
        <v>0.10230246913580247</v>
      </c>
    </row>
    <row r="23" spans="1:18" ht="18" customHeight="1" x14ac:dyDescent="0.3">
      <c r="A23" s="2"/>
      <c r="B23" s="3" t="s">
        <v>26</v>
      </c>
      <c r="C23" s="5">
        <v>6998</v>
      </c>
      <c r="D23" s="4">
        <v>6350</v>
      </c>
      <c r="E23" s="5">
        <v>6804</v>
      </c>
      <c r="F23" s="5">
        <v>6350</v>
      </c>
      <c r="G23" s="6">
        <v>8019</v>
      </c>
      <c r="H23" s="4">
        <v>8384</v>
      </c>
      <c r="I23" s="5">
        <v>6998</v>
      </c>
      <c r="J23" s="5">
        <v>6804</v>
      </c>
      <c r="K23" s="4">
        <v>8602</v>
      </c>
      <c r="L23" s="4">
        <v>8748</v>
      </c>
      <c r="M23" s="4">
        <v>8165</v>
      </c>
      <c r="N23" s="6">
        <v>7063</v>
      </c>
      <c r="O23" s="7">
        <v>81000</v>
      </c>
      <c r="P23" s="7">
        <v>89286</v>
      </c>
      <c r="Q23" s="8">
        <f>P23-O23</f>
        <v>8286</v>
      </c>
      <c r="R23" s="9">
        <f>IF(O23=0,0,(P23-O23)/O23)</f>
        <v>0.1022962962962963</v>
      </c>
    </row>
    <row r="24" spans="1:18" ht="19.5" customHeight="1" x14ac:dyDescent="0.3">
      <c r="A24" s="14" t="s">
        <v>33</v>
      </c>
      <c r="B24" s="14" t="s">
        <v>24</v>
      </c>
      <c r="C24" s="15">
        <f t="shared" ref="C24:Q24" si="4">SUM(C21:C23)</f>
        <v>46656</v>
      </c>
      <c r="D24" s="15">
        <f t="shared" si="4"/>
        <v>42336</v>
      </c>
      <c r="E24" s="15">
        <f t="shared" si="4"/>
        <v>45360</v>
      </c>
      <c r="F24" s="15">
        <f t="shared" si="4"/>
        <v>42336</v>
      </c>
      <c r="G24" s="15">
        <f t="shared" si="4"/>
        <v>53460</v>
      </c>
      <c r="H24" s="15">
        <f t="shared" si="4"/>
        <v>55891</v>
      </c>
      <c r="I24" s="15">
        <f t="shared" si="4"/>
        <v>46656</v>
      </c>
      <c r="J24" s="15">
        <f t="shared" si="4"/>
        <v>45360</v>
      </c>
      <c r="K24" s="15">
        <f t="shared" si="4"/>
        <v>57347</v>
      </c>
      <c r="L24" s="15">
        <f t="shared" si="4"/>
        <v>58320</v>
      </c>
      <c r="M24" s="15">
        <f t="shared" si="4"/>
        <v>54433</v>
      </c>
      <c r="N24" s="15">
        <f t="shared" si="4"/>
        <v>47087</v>
      </c>
      <c r="O24" s="15">
        <f t="shared" si="4"/>
        <v>540000</v>
      </c>
      <c r="P24" s="15">
        <f t="shared" si="4"/>
        <v>595242</v>
      </c>
      <c r="Q24" s="15">
        <f t="shared" si="4"/>
        <v>55242</v>
      </c>
      <c r="R24" s="16">
        <f>IF(O24=0,0,(P24-O24)/O24)</f>
        <v>0.1023</v>
      </c>
    </row>
    <row r="26" spans="1:18" ht="18" customHeight="1" x14ac:dyDescent="0.3">
      <c r="A26" s="17" t="s">
        <v>34</v>
      </c>
      <c r="B26" s="3" t="s">
        <v>21</v>
      </c>
      <c r="C26" s="19">
        <v>27878</v>
      </c>
      <c r="D26" s="18">
        <v>25502</v>
      </c>
      <c r="E26" s="5">
        <v>30096</v>
      </c>
      <c r="F26" s="5">
        <v>32314</v>
      </c>
      <c r="G26" s="5">
        <v>37422</v>
      </c>
      <c r="H26" s="5">
        <v>38491</v>
      </c>
      <c r="I26" s="19">
        <v>28512</v>
      </c>
      <c r="J26" s="5">
        <v>30096</v>
      </c>
      <c r="K26" s="6">
        <v>39204</v>
      </c>
      <c r="L26" s="4">
        <v>39917</v>
      </c>
      <c r="M26" s="4">
        <v>40986</v>
      </c>
      <c r="N26" s="5">
        <v>31046</v>
      </c>
      <c r="O26" s="7">
        <v>396000</v>
      </c>
      <c r="P26" s="7">
        <v>401465</v>
      </c>
      <c r="Q26" s="8">
        <f>P26-O26</f>
        <v>5465</v>
      </c>
      <c r="R26" s="9">
        <f>IF(O26=0,0,(P26-O26)/O26)</f>
        <v>1.3800505050505051E-2</v>
      </c>
    </row>
    <row r="27" spans="1:18" ht="18" customHeight="1" x14ac:dyDescent="0.3">
      <c r="A27" s="17"/>
      <c r="B27" s="10" t="s">
        <v>22</v>
      </c>
      <c r="C27" s="19">
        <v>15206</v>
      </c>
      <c r="D27" s="19">
        <v>13910</v>
      </c>
      <c r="E27" s="5">
        <v>16416</v>
      </c>
      <c r="F27" s="5">
        <v>17626</v>
      </c>
      <c r="G27" s="5">
        <v>20412</v>
      </c>
      <c r="H27" s="6">
        <v>20995</v>
      </c>
      <c r="I27" s="19">
        <v>15552</v>
      </c>
      <c r="J27" s="5">
        <v>16416</v>
      </c>
      <c r="K27" s="6">
        <v>21384</v>
      </c>
      <c r="L27" s="4">
        <v>21773</v>
      </c>
      <c r="M27" s="4">
        <v>22356</v>
      </c>
      <c r="N27" s="5">
        <v>16934</v>
      </c>
      <c r="O27" s="11">
        <v>216000</v>
      </c>
      <c r="P27" s="11">
        <v>218981</v>
      </c>
      <c r="Q27" s="12">
        <f>P27-O27</f>
        <v>2981</v>
      </c>
      <c r="R27" s="13">
        <f>IF(O27=0,0,(P27-O27)/O27)</f>
        <v>1.3800925925925927E-2</v>
      </c>
    </row>
    <row r="28" spans="1:18" ht="18" customHeight="1" x14ac:dyDescent="0.3">
      <c r="A28" s="17"/>
      <c r="B28" s="3" t="s">
        <v>26</v>
      </c>
      <c r="C28" s="19">
        <v>7603</v>
      </c>
      <c r="D28" s="19">
        <v>6955</v>
      </c>
      <c r="E28" s="5">
        <v>8208</v>
      </c>
      <c r="F28" s="5">
        <v>8813</v>
      </c>
      <c r="G28" s="5">
        <v>10206</v>
      </c>
      <c r="H28" s="6">
        <v>10498</v>
      </c>
      <c r="I28" s="19">
        <v>7776</v>
      </c>
      <c r="J28" s="5">
        <v>8208</v>
      </c>
      <c r="K28" s="6">
        <v>10692</v>
      </c>
      <c r="L28" s="4">
        <v>10886</v>
      </c>
      <c r="M28" s="4">
        <v>11178</v>
      </c>
      <c r="N28" s="5">
        <v>8467</v>
      </c>
      <c r="O28" s="7">
        <v>108000</v>
      </c>
      <c r="P28" s="7">
        <v>109490</v>
      </c>
      <c r="Q28" s="8">
        <f>P28-O28</f>
        <v>1490</v>
      </c>
      <c r="R28" s="9">
        <f>IF(O28=0,0,(P28-O28)/O28)</f>
        <v>1.3796296296296296E-2</v>
      </c>
    </row>
    <row r="29" spans="1:18" ht="19.5" customHeight="1" x14ac:dyDescent="0.3">
      <c r="A29" s="14" t="s">
        <v>35</v>
      </c>
      <c r="B29" s="14" t="s">
        <v>24</v>
      </c>
      <c r="C29" s="15">
        <f t="shared" ref="C29:Q29" si="5">SUM(C26:C28)</f>
        <v>50687</v>
      </c>
      <c r="D29" s="15">
        <f t="shared" si="5"/>
        <v>46367</v>
      </c>
      <c r="E29" s="15">
        <f t="shared" si="5"/>
        <v>54720</v>
      </c>
      <c r="F29" s="15">
        <f t="shared" si="5"/>
        <v>58753</v>
      </c>
      <c r="G29" s="15">
        <f t="shared" si="5"/>
        <v>68040</v>
      </c>
      <c r="H29" s="15">
        <f t="shared" si="5"/>
        <v>69984</v>
      </c>
      <c r="I29" s="15">
        <f t="shared" si="5"/>
        <v>51840</v>
      </c>
      <c r="J29" s="15">
        <f t="shared" si="5"/>
        <v>54720</v>
      </c>
      <c r="K29" s="15">
        <f t="shared" si="5"/>
        <v>71280</v>
      </c>
      <c r="L29" s="15">
        <f t="shared" si="5"/>
        <v>72576</v>
      </c>
      <c r="M29" s="15">
        <f t="shared" si="5"/>
        <v>74520</v>
      </c>
      <c r="N29" s="15">
        <f t="shared" si="5"/>
        <v>56447</v>
      </c>
      <c r="O29" s="15">
        <f t="shared" si="5"/>
        <v>720000</v>
      </c>
      <c r="P29" s="15">
        <f t="shared" si="5"/>
        <v>729936</v>
      </c>
      <c r="Q29" s="15">
        <f t="shared" si="5"/>
        <v>9936</v>
      </c>
      <c r="R29" s="16">
        <f>IF(O29=0,0,(P29-O29)/O29)</f>
        <v>1.38E-2</v>
      </c>
    </row>
    <row r="31" spans="1:18" ht="18" customHeight="1" x14ac:dyDescent="0.3">
      <c r="A31" s="2" t="s">
        <v>36</v>
      </c>
      <c r="B31" s="3" t="s">
        <v>21</v>
      </c>
      <c r="C31" s="5">
        <v>10138</v>
      </c>
      <c r="D31" s="5">
        <v>9055</v>
      </c>
      <c r="E31" s="5">
        <v>10560</v>
      </c>
      <c r="F31" s="5">
        <v>10243</v>
      </c>
      <c r="G31" s="5">
        <v>11761</v>
      </c>
      <c r="H31" s="5">
        <v>11999</v>
      </c>
      <c r="I31" s="5">
        <v>10349</v>
      </c>
      <c r="J31" s="5">
        <v>10243</v>
      </c>
      <c r="K31" s="5">
        <v>11880</v>
      </c>
      <c r="L31" s="5">
        <v>11761</v>
      </c>
      <c r="M31" s="5">
        <v>12118</v>
      </c>
      <c r="N31" s="5">
        <v>10349</v>
      </c>
      <c r="O31" s="7">
        <v>132000</v>
      </c>
      <c r="P31" s="7">
        <v>130456</v>
      </c>
      <c r="Q31" s="8">
        <f>P31-O31</f>
        <v>-1544</v>
      </c>
      <c r="R31" s="9">
        <f>IF(O31=0,0,(P31-O31)/O31)</f>
        <v>-1.1696969696969697E-2</v>
      </c>
    </row>
    <row r="32" spans="1:18" ht="18" customHeight="1" x14ac:dyDescent="0.3">
      <c r="A32" s="2"/>
      <c r="B32" s="10" t="s">
        <v>22</v>
      </c>
      <c r="C32" s="5">
        <v>5530</v>
      </c>
      <c r="D32" s="5">
        <v>4939</v>
      </c>
      <c r="E32" s="5">
        <v>5760</v>
      </c>
      <c r="F32" s="5">
        <v>5587</v>
      </c>
      <c r="G32" s="5">
        <v>6415</v>
      </c>
      <c r="H32" s="5">
        <v>6545</v>
      </c>
      <c r="I32" s="5">
        <v>5645</v>
      </c>
      <c r="J32" s="5">
        <v>5587</v>
      </c>
      <c r="K32" s="5">
        <v>6480</v>
      </c>
      <c r="L32" s="5">
        <v>6415</v>
      </c>
      <c r="M32" s="5">
        <v>6610</v>
      </c>
      <c r="N32" s="5">
        <v>5645</v>
      </c>
      <c r="O32" s="11">
        <v>72000</v>
      </c>
      <c r="P32" s="11">
        <v>71158</v>
      </c>
      <c r="Q32" s="12">
        <f>P32-O32</f>
        <v>-842</v>
      </c>
      <c r="R32" s="13">
        <f>IF(O32=0,0,(P32-O32)/O32)</f>
        <v>-1.1694444444444445E-2</v>
      </c>
    </row>
    <row r="33" spans="1:18" ht="19.5" customHeight="1" x14ac:dyDescent="0.3">
      <c r="A33" s="14" t="s">
        <v>37</v>
      </c>
      <c r="B33" s="14" t="s">
        <v>24</v>
      </c>
      <c r="C33" s="15">
        <f t="shared" ref="C33:Q33" si="6">SUM(C31:C32)</f>
        <v>15668</v>
      </c>
      <c r="D33" s="15">
        <f t="shared" si="6"/>
        <v>13994</v>
      </c>
      <c r="E33" s="15">
        <f t="shared" si="6"/>
        <v>16320</v>
      </c>
      <c r="F33" s="15">
        <f t="shared" si="6"/>
        <v>15830</v>
      </c>
      <c r="G33" s="15">
        <f t="shared" si="6"/>
        <v>18176</v>
      </c>
      <c r="H33" s="15">
        <f t="shared" si="6"/>
        <v>18544</v>
      </c>
      <c r="I33" s="15">
        <f t="shared" si="6"/>
        <v>15994</v>
      </c>
      <c r="J33" s="15">
        <f t="shared" si="6"/>
        <v>15830</v>
      </c>
      <c r="K33" s="15">
        <f t="shared" si="6"/>
        <v>18360</v>
      </c>
      <c r="L33" s="15">
        <f t="shared" si="6"/>
        <v>18176</v>
      </c>
      <c r="M33" s="15">
        <f t="shared" si="6"/>
        <v>18728</v>
      </c>
      <c r="N33" s="15">
        <f t="shared" si="6"/>
        <v>15994</v>
      </c>
      <c r="O33" s="15">
        <f t="shared" si="6"/>
        <v>204000</v>
      </c>
      <c r="P33" s="15">
        <f t="shared" si="6"/>
        <v>201614</v>
      </c>
      <c r="Q33" s="15">
        <f t="shared" si="6"/>
        <v>-2386</v>
      </c>
      <c r="R33" s="16">
        <f>IF(O33=0,0,(P33-O33)/O33)</f>
        <v>-1.1696078431372549E-2</v>
      </c>
    </row>
    <row r="35" spans="1:18" ht="18" customHeight="1" x14ac:dyDescent="0.3">
      <c r="A35" s="17" t="s">
        <v>38</v>
      </c>
      <c r="B35" s="3" t="s">
        <v>21</v>
      </c>
      <c r="C35" s="19">
        <v>7286</v>
      </c>
      <c r="D35" s="18">
        <v>6514</v>
      </c>
      <c r="E35" s="5">
        <v>7603</v>
      </c>
      <c r="F35" s="18">
        <v>7366</v>
      </c>
      <c r="G35" s="5">
        <v>8464</v>
      </c>
      <c r="H35" s="18">
        <v>8375</v>
      </c>
      <c r="I35" s="19">
        <v>7286</v>
      </c>
      <c r="J35" s="18">
        <v>7366</v>
      </c>
      <c r="K35" s="5">
        <v>8554</v>
      </c>
      <c r="L35" s="18">
        <v>8375</v>
      </c>
      <c r="M35" s="5">
        <v>8464</v>
      </c>
      <c r="N35" s="18">
        <v>7366</v>
      </c>
      <c r="O35" s="7">
        <v>99000</v>
      </c>
      <c r="P35" s="7">
        <v>93020</v>
      </c>
      <c r="Q35" s="8">
        <f>P35-O35</f>
        <v>-5980</v>
      </c>
      <c r="R35" s="9">
        <f>IF(O35=0,0,(P35-O35)/O35)</f>
        <v>-6.0404040404040404E-2</v>
      </c>
    </row>
    <row r="36" spans="1:18" ht="18" customHeight="1" x14ac:dyDescent="0.3">
      <c r="A36" s="17"/>
      <c r="B36" s="10" t="s">
        <v>22</v>
      </c>
      <c r="C36" s="18">
        <v>3974</v>
      </c>
      <c r="D36" s="18">
        <v>3553</v>
      </c>
      <c r="E36" s="5">
        <v>4147</v>
      </c>
      <c r="F36" s="18">
        <v>4018</v>
      </c>
      <c r="G36" s="5">
        <v>4617</v>
      </c>
      <c r="H36" s="18">
        <v>4568</v>
      </c>
      <c r="I36" s="18">
        <v>3974</v>
      </c>
      <c r="J36" s="18">
        <v>4018</v>
      </c>
      <c r="K36" s="5">
        <v>4666</v>
      </c>
      <c r="L36" s="18">
        <v>4568</v>
      </c>
      <c r="M36" s="5">
        <v>4617</v>
      </c>
      <c r="N36" s="18">
        <v>4018</v>
      </c>
      <c r="O36" s="11">
        <v>54000</v>
      </c>
      <c r="P36" s="11">
        <v>50738</v>
      </c>
      <c r="Q36" s="12">
        <f>P36-O36</f>
        <v>-3262</v>
      </c>
      <c r="R36" s="13">
        <f>IF(O36=0,0,(P36-O36)/O36)</f>
        <v>-6.040740740740741E-2</v>
      </c>
    </row>
    <row r="37" spans="1:18" ht="19.5" customHeight="1" x14ac:dyDescent="0.3">
      <c r="A37" s="14" t="s">
        <v>39</v>
      </c>
      <c r="B37" s="14" t="s">
        <v>24</v>
      </c>
      <c r="C37" s="15">
        <f t="shared" ref="C37:Q37" si="7">SUM(C35:C36)</f>
        <v>11260</v>
      </c>
      <c r="D37" s="15">
        <f t="shared" si="7"/>
        <v>10067</v>
      </c>
      <c r="E37" s="15">
        <f t="shared" si="7"/>
        <v>11750</v>
      </c>
      <c r="F37" s="15">
        <f t="shared" si="7"/>
        <v>11384</v>
      </c>
      <c r="G37" s="15">
        <f t="shared" si="7"/>
        <v>13081</v>
      </c>
      <c r="H37" s="15">
        <f t="shared" si="7"/>
        <v>12943</v>
      </c>
      <c r="I37" s="15">
        <f t="shared" si="7"/>
        <v>11260</v>
      </c>
      <c r="J37" s="15">
        <f t="shared" si="7"/>
        <v>11384</v>
      </c>
      <c r="K37" s="15">
        <f t="shared" si="7"/>
        <v>13220</v>
      </c>
      <c r="L37" s="15">
        <f t="shared" si="7"/>
        <v>12943</v>
      </c>
      <c r="M37" s="15">
        <f t="shared" si="7"/>
        <v>13081</v>
      </c>
      <c r="N37" s="15">
        <f t="shared" si="7"/>
        <v>11384</v>
      </c>
      <c r="O37" s="15">
        <f t="shared" si="7"/>
        <v>153000</v>
      </c>
      <c r="P37" s="15">
        <f t="shared" si="7"/>
        <v>143758</v>
      </c>
      <c r="Q37" s="15">
        <f t="shared" si="7"/>
        <v>-9242</v>
      </c>
      <c r="R37" s="16">
        <f>IF(O37=0,0,(P37-O37)/O37)</f>
        <v>-6.0405228758169935E-2</v>
      </c>
    </row>
    <row r="39" spans="1:18" ht="24" customHeight="1" x14ac:dyDescent="0.3">
      <c r="A39" s="20" t="s">
        <v>40</v>
      </c>
      <c r="B39" s="20" t="s">
        <v>41</v>
      </c>
      <c r="C39" s="21">
        <f t="shared" ref="C39:Q39" si="8">C6+C11+C15+C19+C24+C29+C33+C37</f>
        <v>279387</v>
      </c>
      <c r="D39" s="21">
        <f t="shared" si="8"/>
        <v>246835</v>
      </c>
      <c r="E39" s="21">
        <f t="shared" si="8"/>
        <v>281197</v>
      </c>
      <c r="F39" s="21">
        <f t="shared" si="8"/>
        <v>284881</v>
      </c>
      <c r="G39" s="21">
        <f t="shared" si="8"/>
        <v>329291</v>
      </c>
      <c r="H39" s="21">
        <f t="shared" si="8"/>
        <v>337627</v>
      </c>
      <c r="I39" s="21">
        <f t="shared" si="8"/>
        <v>277566</v>
      </c>
      <c r="J39" s="21">
        <f t="shared" si="8"/>
        <v>281384</v>
      </c>
      <c r="K39" s="21">
        <f t="shared" si="8"/>
        <v>342116</v>
      </c>
      <c r="L39" s="21">
        <f t="shared" si="8"/>
        <v>343941</v>
      </c>
      <c r="M39" s="21">
        <f t="shared" si="8"/>
        <v>348715</v>
      </c>
      <c r="N39" s="21">
        <f t="shared" si="8"/>
        <v>285900</v>
      </c>
      <c r="O39" s="21">
        <f t="shared" si="8"/>
        <v>3546000</v>
      </c>
      <c r="P39" s="21">
        <f t="shared" si="8"/>
        <v>3638847</v>
      </c>
      <c r="Q39" s="21">
        <f t="shared" si="8"/>
        <v>92847</v>
      </c>
      <c r="R39" s="22">
        <f>IF(O39=0,0,(P39-O39)/O39)</f>
        <v>2.6183587140439932E-2</v>
      </c>
    </row>
  </sheetData>
  <mergeCells count="2">
    <mergeCell ref="A1:P1"/>
    <mergeCell ref="A2:P2"/>
  </mergeCells>
  <conditionalFormatting sqref="R4:R39">
    <cfRule type="colorScale" priority="2">
      <colorScale>
        <cfvo type="num" val="-0.15"/>
        <cfvo type="num" val="0"/>
        <cfvo type="num" val="0.2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4"/>
  <sheetViews>
    <sheetView showGridLines="0" zoomScaleNormal="100" workbookViewId="0">
      <pane ySplit="3" topLeftCell="A4" activePane="bottomLeft" state="frozen"/>
      <selection pane="bottomLeft" sqref="A1:N1"/>
    </sheetView>
  </sheetViews>
  <sheetFormatPr defaultColWidth="8.6640625" defaultRowHeight="14.4" x14ac:dyDescent="0.3"/>
  <cols>
    <col min="1" max="1" width="16" customWidth="1"/>
    <col min="2" max="3" width="13" customWidth="1"/>
    <col min="4" max="4" width="28" customWidth="1"/>
    <col min="5" max="5" width="12" customWidth="1"/>
    <col min="6" max="6" width="22" customWidth="1"/>
    <col min="7" max="7" width="14" customWidth="1"/>
    <col min="8" max="8" width="34" customWidth="1"/>
    <col min="9" max="9" width="14" customWidth="1"/>
    <col min="10" max="10" width="12" customWidth="1"/>
    <col min="11" max="11" width="14" customWidth="1"/>
    <col min="12" max="12" width="18" customWidth="1"/>
    <col min="13" max="13" width="13" customWidth="1"/>
    <col min="14" max="14" width="18" customWidth="1"/>
  </cols>
  <sheetData>
    <row r="1" spans="1:14" ht="25.5" customHeight="1" x14ac:dyDescent="0.3">
      <c r="A1" s="72" t="s">
        <v>42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18" customHeight="1" x14ac:dyDescent="0.3">
      <c r="A2" s="71" t="s">
        <v>43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" customHeight="1" x14ac:dyDescent="0.3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2</v>
      </c>
      <c r="G3" s="1" t="s">
        <v>49</v>
      </c>
      <c r="H3" s="1" t="s">
        <v>50</v>
      </c>
      <c r="I3" s="1" t="s">
        <v>51</v>
      </c>
      <c r="J3" s="1" t="s">
        <v>52</v>
      </c>
      <c r="K3" s="1" t="s">
        <v>53</v>
      </c>
      <c r="L3" s="1" t="s">
        <v>54</v>
      </c>
      <c r="M3" s="1" t="s">
        <v>55</v>
      </c>
      <c r="N3" s="1" t="s">
        <v>56</v>
      </c>
    </row>
    <row r="4" spans="1:14" ht="16.5" customHeight="1" x14ac:dyDescent="0.3">
      <c r="A4" s="23" t="s">
        <v>57</v>
      </c>
      <c r="B4" s="24">
        <v>45678</v>
      </c>
      <c r="C4" s="24">
        <v>45708</v>
      </c>
      <c r="D4" s="25" t="s">
        <v>58</v>
      </c>
      <c r="E4" s="25" t="s">
        <v>59</v>
      </c>
      <c r="F4" s="25" t="s">
        <v>20</v>
      </c>
      <c r="G4" s="25" t="s">
        <v>60</v>
      </c>
      <c r="H4" s="25" t="s">
        <v>61</v>
      </c>
      <c r="I4" s="26">
        <v>2370.5</v>
      </c>
      <c r="J4" s="26">
        <v>142.22999999999999</v>
      </c>
      <c r="K4" s="26">
        <v>2512.73</v>
      </c>
      <c r="L4" s="27" t="s">
        <v>62</v>
      </c>
      <c r="M4" s="24">
        <v>45707</v>
      </c>
      <c r="N4" s="25" t="s">
        <v>63</v>
      </c>
    </row>
    <row r="5" spans="1:14" ht="16.5" customHeight="1" x14ac:dyDescent="0.3">
      <c r="A5" s="28" t="s">
        <v>64</v>
      </c>
      <c r="B5" s="29">
        <v>45696</v>
      </c>
      <c r="C5" s="29">
        <v>45726</v>
      </c>
      <c r="D5" s="30" t="s">
        <v>65</v>
      </c>
      <c r="E5" s="30" t="s">
        <v>66</v>
      </c>
      <c r="F5" s="30" t="s">
        <v>25</v>
      </c>
      <c r="G5" s="30" t="s">
        <v>67</v>
      </c>
      <c r="H5" s="30" t="s">
        <v>68</v>
      </c>
      <c r="I5" s="31">
        <v>35666.85</v>
      </c>
      <c r="J5" s="31">
        <v>2140.0100000000002</v>
      </c>
      <c r="K5" s="31">
        <v>37806.86</v>
      </c>
      <c r="L5" s="27" t="s">
        <v>62</v>
      </c>
      <c r="M5" s="29">
        <v>45731</v>
      </c>
      <c r="N5" s="30" t="s">
        <v>69</v>
      </c>
    </row>
    <row r="6" spans="1:14" ht="16.5" customHeight="1" x14ac:dyDescent="0.3">
      <c r="A6" s="23" t="s">
        <v>70</v>
      </c>
      <c r="B6" s="24">
        <v>45719</v>
      </c>
      <c r="C6" s="24">
        <v>45749</v>
      </c>
      <c r="D6" s="25" t="s">
        <v>71</v>
      </c>
      <c r="E6" s="25" t="s">
        <v>72</v>
      </c>
      <c r="F6" s="25" t="s">
        <v>28</v>
      </c>
      <c r="G6" s="25" t="s">
        <v>73</v>
      </c>
      <c r="H6" s="25" t="s">
        <v>74</v>
      </c>
      <c r="I6" s="26">
        <v>2687.43</v>
      </c>
      <c r="J6" s="26">
        <v>161.25</v>
      </c>
      <c r="K6" s="26">
        <v>2848.68</v>
      </c>
      <c r="L6" s="27" t="s">
        <v>62</v>
      </c>
      <c r="M6" s="24">
        <v>45745</v>
      </c>
      <c r="N6" s="25" t="s">
        <v>75</v>
      </c>
    </row>
    <row r="7" spans="1:14" ht="16.5" customHeight="1" x14ac:dyDescent="0.3">
      <c r="A7" s="28" t="s">
        <v>76</v>
      </c>
      <c r="B7" s="29">
        <v>45755</v>
      </c>
      <c r="C7" s="29">
        <v>45785</v>
      </c>
      <c r="D7" s="30" t="s">
        <v>77</v>
      </c>
      <c r="E7" s="30" t="s">
        <v>78</v>
      </c>
      <c r="F7" s="30" t="s">
        <v>30</v>
      </c>
      <c r="G7" s="30" t="s">
        <v>79</v>
      </c>
      <c r="H7" s="30" t="s">
        <v>80</v>
      </c>
      <c r="I7" s="31">
        <v>29374.48</v>
      </c>
      <c r="J7" s="31">
        <v>1762.47</v>
      </c>
      <c r="K7" s="31">
        <v>31136.95</v>
      </c>
      <c r="L7" s="27" t="s">
        <v>62</v>
      </c>
      <c r="M7" s="29">
        <v>45788</v>
      </c>
      <c r="N7" s="30" t="s">
        <v>81</v>
      </c>
    </row>
    <row r="8" spans="1:14" ht="16.5" customHeight="1" x14ac:dyDescent="0.3">
      <c r="A8" s="23" t="s">
        <v>82</v>
      </c>
      <c r="B8" s="24">
        <v>45800</v>
      </c>
      <c r="C8" s="24">
        <v>45830</v>
      </c>
      <c r="D8" s="25" t="s">
        <v>83</v>
      </c>
      <c r="E8" s="25" t="s">
        <v>84</v>
      </c>
      <c r="F8" s="25" t="s">
        <v>32</v>
      </c>
      <c r="G8" s="25" t="s">
        <v>85</v>
      </c>
      <c r="H8" s="25" t="s">
        <v>86</v>
      </c>
      <c r="I8" s="26">
        <v>20833.53</v>
      </c>
      <c r="J8" s="26">
        <v>1250.01</v>
      </c>
      <c r="K8" s="26">
        <v>22083.54</v>
      </c>
      <c r="L8" s="27" t="s">
        <v>62</v>
      </c>
      <c r="M8" s="24">
        <v>45832</v>
      </c>
      <c r="N8" s="25" t="s">
        <v>87</v>
      </c>
    </row>
    <row r="9" spans="1:14" ht="16.5" customHeight="1" x14ac:dyDescent="0.3">
      <c r="A9" s="28" t="s">
        <v>88</v>
      </c>
      <c r="B9" s="29">
        <v>45817</v>
      </c>
      <c r="C9" s="29">
        <v>45847</v>
      </c>
      <c r="D9" s="30" t="s">
        <v>89</v>
      </c>
      <c r="E9" s="30" t="s">
        <v>90</v>
      </c>
      <c r="F9" s="30" t="s">
        <v>34</v>
      </c>
      <c r="G9" s="30" t="s">
        <v>91</v>
      </c>
      <c r="H9" s="30" t="s">
        <v>92</v>
      </c>
      <c r="I9" s="31">
        <v>36712.18</v>
      </c>
      <c r="J9" s="31">
        <v>2202.73</v>
      </c>
      <c r="K9" s="31">
        <v>38914.910000000003</v>
      </c>
      <c r="L9" s="27" t="s">
        <v>62</v>
      </c>
      <c r="M9" s="29">
        <v>45844</v>
      </c>
      <c r="N9" s="30" t="s">
        <v>93</v>
      </c>
    </row>
    <row r="10" spans="1:14" ht="16.5" customHeight="1" x14ac:dyDescent="0.3">
      <c r="A10" s="23" t="s">
        <v>94</v>
      </c>
      <c r="B10" s="24">
        <v>45849</v>
      </c>
      <c r="C10" s="24">
        <v>45879</v>
      </c>
      <c r="D10" s="25" t="s">
        <v>95</v>
      </c>
      <c r="E10" s="25" t="s">
        <v>96</v>
      </c>
      <c r="F10" s="25" t="s">
        <v>36</v>
      </c>
      <c r="G10" s="25" t="s">
        <v>97</v>
      </c>
      <c r="H10" s="25" t="s">
        <v>98</v>
      </c>
      <c r="I10" s="26">
        <v>8476.44</v>
      </c>
      <c r="J10" s="26">
        <v>508.59</v>
      </c>
      <c r="K10" s="26">
        <v>8985.0300000000007</v>
      </c>
      <c r="L10" s="27" t="s">
        <v>62</v>
      </c>
      <c r="M10" s="24">
        <v>45879</v>
      </c>
      <c r="N10" s="25" t="s">
        <v>99</v>
      </c>
    </row>
    <row r="11" spans="1:14" ht="16.5" customHeight="1" x14ac:dyDescent="0.3">
      <c r="A11" s="28" t="s">
        <v>100</v>
      </c>
      <c r="B11" s="29">
        <v>45872</v>
      </c>
      <c r="C11" s="29">
        <v>45902</v>
      </c>
      <c r="D11" s="30" t="s">
        <v>101</v>
      </c>
      <c r="E11" s="30" t="s">
        <v>102</v>
      </c>
      <c r="F11" s="30" t="s">
        <v>38</v>
      </c>
      <c r="G11" s="30" t="s">
        <v>103</v>
      </c>
      <c r="H11" s="30" t="s">
        <v>104</v>
      </c>
      <c r="I11" s="31">
        <v>5726.33</v>
      </c>
      <c r="J11" s="31">
        <v>343.58</v>
      </c>
      <c r="K11" s="31">
        <v>6069.91</v>
      </c>
      <c r="L11" s="27" t="s">
        <v>62</v>
      </c>
      <c r="M11" s="29">
        <v>45902</v>
      </c>
      <c r="N11" s="30" t="s">
        <v>105</v>
      </c>
    </row>
    <row r="12" spans="1:14" ht="16.5" customHeight="1" x14ac:dyDescent="0.3">
      <c r="A12" s="23" t="s">
        <v>106</v>
      </c>
      <c r="B12" s="24">
        <v>45909</v>
      </c>
      <c r="C12" s="24">
        <v>45939</v>
      </c>
      <c r="D12" s="25" t="s">
        <v>107</v>
      </c>
      <c r="E12" s="25" t="s">
        <v>108</v>
      </c>
      <c r="F12" s="25" t="s">
        <v>20</v>
      </c>
      <c r="G12" s="25" t="s">
        <v>109</v>
      </c>
      <c r="H12" s="25" t="s">
        <v>110</v>
      </c>
      <c r="I12" s="26">
        <v>35351.449999999997</v>
      </c>
      <c r="J12" s="26">
        <v>2121.09</v>
      </c>
      <c r="K12" s="26">
        <v>37472.54</v>
      </c>
      <c r="L12" s="27" t="s">
        <v>62</v>
      </c>
      <c r="M12" s="24">
        <v>45942</v>
      </c>
      <c r="N12" s="25" t="s">
        <v>111</v>
      </c>
    </row>
    <row r="13" spans="1:14" ht="16.5" customHeight="1" x14ac:dyDescent="0.3">
      <c r="A13" s="28" t="s">
        <v>112</v>
      </c>
      <c r="B13" s="29">
        <v>45943</v>
      </c>
      <c r="C13" s="29">
        <v>45973</v>
      </c>
      <c r="D13" s="30" t="s">
        <v>113</v>
      </c>
      <c r="E13" s="30" t="s">
        <v>114</v>
      </c>
      <c r="F13" s="30" t="s">
        <v>25</v>
      </c>
      <c r="G13" s="30" t="s">
        <v>115</v>
      </c>
      <c r="H13" s="30" t="s">
        <v>116</v>
      </c>
      <c r="I13" s="31">
        <v>27035.5</v>
      </c>
      <c r="J13" s="31">
        <v>1622.13</v>
      </c>
      <c r="K13" s="31">
        <v>28657.63</v>
      </c>
      <c r="L13" s="27" t="s">
        <v>62</v>
      </c>
      <c r="M13" s="29">
        <v>45978</v>
      </c>
      <c r="N13" s="30" t="s">
        <v>117</v>
      </c>
    </row>
    <row r="14" spans="1:14" ht="16.5" customHeight="1" x14ac:dyDescent="0.3">
      <c r="A14" s="23" t="s">
        <v>118</v>
      </c>
      <c r="B14" s="24">
        <v>45989</v>
      </c>
      <c r="C14" s="24">
        <v>46019</v>
      </c>
      <c r="D14" s="25" t="s">
        <v>119</v>
      </c>
      <c r="E14" s="25" t="s">
        <v>120</v>
      </c>
      <c r="F14" s="25" t="s">
        <v>28</v>
      </c>
      <c r="G14" s="25" t="s">
        <v>121</v>
      </c>
      <c r="H14" s="25" t="s">
        <v>122</v>
      </c>
      <c r="I14" s="26">
        <v>28220.080000000002</v>
      </c>
      <c r="J14" s="26">
        <v>1693.2</v>
      </c>
      <c r="K14" s="26">
        <v>29913.279999999999</v>
      </c>
      <c r="L14" s="27" t="s">
        <v>62</v>
      </c>
      <c r="M14" s="24">
        <v>46015</v>
      </c>
      <c r="N14" s="25" t="s">
        <v>123</v>
      </c>
    </row>
    <row r="15" spans="1:14" ht="16.5" customHeight="1" x14ac:dyDescent="0.3">
      <c r="A15" s="28" t="s">
        <v>124</v>
      </c>
      <c r="B15" s="29">
        <v>46013</v>
      </c>
      <c r="C15" s="29">
        <v>46043</v>
      </c>
      <c r="D15" s="30" t="s">
        <v>125</v>
      </c>
      <c r="E15" s="30" t="s">
        <v>126</v>
      </c>
      <c r="F15" s="30" t="s">
        <v>30</v>
      </c>
      <c r="G15" s="30" t="s">
        <v>127</v>
      </c>
      <c r="H15" s="30" t="s">
        <v>128</v>
      </c>
      <c r="I15" s="31">
        <v>37379.599999999999</v>
      </c>
      <c r="J15" s="31">
        <v>2242.7800000000002</v>
      </c>
      <c r="K15" s="31">
        <v>39622.379999999997</v>
      </c>
      <c r="L15" s="27" t="s">
        <v>62</v>
      </c>
      <c r="M15" s="29">
        <v>46039</v>
      </c>
      <c r="N15" s="30" t="s">
        <v>129</v>
      </c>
    </row>
    <row r="16" spans="1:14" ht="16.5" customHeight="1" x14ac:dyDescent="0.3">
      <c r="A16" s="23" t="s">
        <v>130</v>
      </c>
      <c r="B16" s="24">
        <v>45685</v>
      </c>
      <c r="C16" s="24">
        <v>45715</v>
      </c>
      <c r="D16" s="25" t="s">
        <v>131</v>
      </c>
      <c r="E16" s="25" t="s">
        <v>132</v>
      </c>
      <c r="F16" s="25" t="s">
        <v>32</v>
      </c>
      <c r="G16" s="25" t="s">
        <v>133</v>
      </c>
      <c r="H16" s="25" t="s">
        <v>134</v>
      </c>
      <c r="I16" s="26">
        <v>18989.91</v>
      </c>
      <c r="J16" s="26">
        <v>1139.3900000000001</v>
      </c>
      <c r="K16" s="26">
        <v>20129.3</v>
      </c>
      <c r="L16" s="27" t="s">
        <v>62</v>
      </c>
      <c r="M16" s="24">
        <v>45717</v>
      </c>
      <c r="N16" s="25" t="s">
        <v>135</v>
      </c>
    </row>
    <row r="17" spans="1:14" ht="16.5" customHeight="1" x14ac:dyDescent="0.3">
      <c r="A17" s="28" t="s">
        <v>136</v>
      </c>
      <c r="B17" s="29">
        <v>45715</v>
      </c>
      <c r="C17" s="29">
        <v>45745</v>
      </c>
      <c r="D17" s="30" t="s">
        <v>137</v>
      </c>
      <c r="E17" s="30" t="s">
        <v>138</v>
      </c>
      <c r="F17" s="30" t="s">
        <v>34</v>
      </c>
      <c r="G17" s="30" t="s">
        <v>139</v>
      </c>
      <c r="H17" s="30" t="s">
        <v>140</v>
      </c>
      <c r="I17" s="31">
        <v>8812.2099999999991</v>
      </c>
      <c r="J17" s="31">
        <v>528.73</v>
      </c>
      <c r="K17" s="31">
        <v>9340.94</v>
      </c>
      <c r="L17" s="27" t="s">
        <v>62</v>
      </c>
      <c r="M17" s="29">
        <v>45745</v>
      </c>
      <c r="N17" s="30" t="s">
        <v>141</v>
      </c>
    </row>
    <row r="18" spans="1:14" ht="16.5" customHeight="1" x14ac:dyDescent="0.3">
      <c r="A18" s="23" t="s">
        <v>142</v>
      </c>
      <c r="B18" s="24">
        <v>45738</v>
      </c>
      <c r="C18" s="24">
        <v>45768</v>
      </c>
      <c r="D18" s="25" t="s">
        <v>143</v>
      </c>
      <c r="E18" s="25" t="s">
        <v>144</v>
      </c>
      <c r="F18" s="25" t="s">
        <v>36</v>
      </c>
      <c r="G18" s="25" t="s">
        <v>145</v>
      </c>
      <c r="H18" s="25" t="s">
        <v>146</v>
      </c>
      <c r="I18" s="26">
        <v>34045.19</v>
      </c>
      <c r="J18" s="26">
        <v>2042.71</v>
      </c>
      <c r="K18" s="26">
        <v>36087.9</v>
      </c>
      <c r="L18" s="27" t="s">
        <v>62</v>
      </c>
      <c r="M18" s="24">
        <v>45773</v>
      </c>
      <c r="N18" s="25" t="s">
        <v>147</v>
      </c>
    </row>
    <row r="19" spans="1:14" ht="16.5" customHeight="1" x14ac:dyDescent="0.3">
      <c r="A19" s="28" t="s">
        <v>148</v>
      </c>
      <c r="B19" s="29">
        <v>45750</v>
      </c>
      <c r="C19" s="29">
        <v>45780</v>
      </c>
      <c r="D19" s="30" t="s">
        <v>58</v>
      </c>
      <c r="E19" s="30" t="s">
        <v>59</v>
      </c>
      <c r="F19" s="30" t="s">
        <v>38</v>
      </c>
      <c r="G19" s="30" t="s">
        <v>149</v>
      </c>
      <c r="H19" s="30" t="s">
        <v>150</v>
      </c>
      <c r="I19" s="31">
        <v>26197.75</v>
      </c>
      <c r="J19" s="31">
        <v>1571.87</v>
      </c>
      <c r="K19" s="31">
        <v>27769.62</v>
      </c>
      <c r="L19" s="27" t="s">
        <v>62</v>
      </c>
      <c r="M19" s="29">
        <v>45778</v>
      </c>
      <c r="N19" s="30" t="s">
        <v>151</v>
      </c>
    </row>
    <row r="20" spans="1:14" ht="16.5" customHeight="1" x14ac:dyDescent="0.3">
      <c r="A20" s="23" t="s">
        <v>152</v>
      </c>
      <c r="B20" s="24">
        <v>45792</v>
      </c>
      <c r="C20" s="24">
        <v>45822</v>
      </c>
      <c r="D20" s="25" t="s">
        <v>65</v>
      </c>
      <c r="E20" s="25" t="s">
        <v>66</v>
      </c>
      <c r="F20" s="25" t="s">
        <v>20</v>
      </c>
      <c r="G20" s="25" t="s">
        <v>153</v>
      </c>
      <c r="H20" s="25" t="s">
        <v>154</v>
      </c>
      <c r="I20" s="26">
        <v>13833.56</v>
      </c>
      <c r="J20" s="26">
        <v>830.01</v>
      </c>
      <c r="K20" s="26">
        <v>14663.57</v>
      </c>
      <c r="L20" s="27" t="s">
        <v>62</v>
      </c>
      <c r="M20" s="24">
        <v>45827</v>
      </c>
      <c r="N20" s="25" t="s">
        <v>155</v>
      </c>
    </row>
    <row r="21" spans="1:14" ht="16.5" customHeight="1" x14ac:dyDescent="0.3">
      <c r="A21" s="28" t="s">
        <v>156</v>
      </c>
      <c r="B21" s="29">
        <v>45816</v>
      </c>
      <c r="C21" s="29">
        <v>45846</v>
      </c>
      <c r="D21" s="30" t="s">
        <v>71</v>
      </c>
      <c r="E21" s="30" t="s">
        <v>72</v>
      </c>
      <c r="F21" s="30" t="s">
        <v>25</v>
      </c>
      <c r="G21" s="30" t="s">
        <v>157</v>
      </c>
      <c r="H21" s="30" t="s">
        <v>158</v>
      </c>
      <c r="I21" s="31">
        <v>40645.47</v>
      </c>
      <c r="J21" s="31">
        <v>2438.73</v>
      </c>
      <c r="K21" s="31">
        <v>43084.2</v>
      </c>
      <c r="L21" s="27" t="s">
        <v>62</v>
      </c>
      <c r="M21" s="29">
        <v>45841</v>
      </c>
      <c r="N21" s="30" t="s">
        <v>159</v>
      </c>
    </row>
    <row r="22" spans="1:14" ht="16.5" customHeight="1" x14ac:dyDescent="0.3">
      <c r="A22" s="23" t="s">
        <v>160</v>
      </c>
      <c r="B22" s="24">
        <v>45865</v>
      </c>
      <c r="C22" s="24">
        <v>45895</v>
      </c>
      <c r="D22" s="25" t="s">
        <v>77</v>
      </c>
      <c r="E22" s="25" t="s">
        <v>78</v>
      </c>
      <c r="F22" s="25" t="s">
        <v>28</v>
      </c>
      <c r="G22" s="25" t="s">
        <v>161</v>
      </c>
      <c r="H22" s="25" t="s">
        <v>162</v>
      </c>
      <c r="I22" s="26">
        <v>38876.14</v>
      </c>
      <c r="J22" s="26">
        <v>2332.5700000000002</v>
      </c>
      <c r="K22" s="26">
        <v>41208.71</v>
      </c>
      <c r="L22" s="27" t="s">
        <v>62</v>
      </c>
      <c r="M22" s="24">
        <v>45896</v>
      </c>
      <c r="N22" s="25" t="s">
        <v>163</v>
      </c>
    </row>
    <row r="23" spans="1:14" ht="16.5" customHeight="1" x14ac:dyDescent="0.3">
      <c r="A23" s="28" t="s">
        <v>164</v>
      </c>
      <c r="B23" s="29">
        <v>45872</v>
      </c>
      <c r="C23" s="29">
        <v>45902</v>
      </c>
      <c r="D23" s="30" t="s">
        <v>83</v>
      </c>
      <c r="E23" s="30" t="s">
        <v>84</v>
      </c>
      <c r="F23" s="30" t="s">
        <v>30</v>
      </c>
      <c r="G23" s="30" t="s">
        <v>165</v>
      </c>
      <c r="H23" s="30" t="s">
        <v>166</v>
      </c>
      <c r="I23" s="31">
        <v>43934.77</v>
      </c>
      <c r="J23" s="31">
        <v>2636.09</v>
      </c>
      <c r="K23" s="31">
        <v>46570.86</v>
      </c>
      <c r="L23" s="27" t="s">
        <v>62</v>
      </c>
      <c r="M23" s="29">
        <v>45906</v>
      </c>
      <c r="N23" s="30" t="s">
        <v>167</v>
      </c>
    </row>
    <row r="24" spans="1:14" ht="16.5" customHeight="1" x14ac:dyDescent="0.3">
      <c r="A24" s="23" t="s">
        <v>168</v>
      </c>
      <c r="B24" s="24">
        <v>45907</v>
      </c>
      <c r="C24" s="24">
        <v>45937</v>
      </c>
      <c r="D24" s="25" t="s">
        <v>89</v>
      </c>
      <c r="E24" s="25" t="s">
        <v>90</v>
      </c>
      <c r="F24" s="25" t="s">
        <v>32</v>
      </c>
      <c r="G24" s="25" t="s">
        <v>169</v>
      </c>
      <c r="H24" s="25" t="s">
        <v>61</v>
      </c>
      <c r="I24" s="26">
        <v>19715.57</v>
      </c>
      <c r="J24" s="26">
        <v>1182.93</v>
      </c>
      <c r="K24" s="26">
        <v>20898.5</v>
      </c>
      <c r="L24" s="27" t="s">
        <v>62</v>
      </c>
      <c r="M24" s="24">
        <v>45942</v>
      </c>
      <c r="N24" s="25" t="s">
        <v>170</v>
      </c>
    </row>
    <row r="25" spans="1:14" ht="16.5" customHeight="1" x14ac:dyDescent="0.3">
      <c r="A25" s="28" t="s">
        <v>171</v>
      </c>
      <c r="B25" s="29">
        <v>45935</v>
      </c>
      <c r="C25" s="29">
        <v>45965</v>
      </c>
      <c r="D25" s="30" t="s">
        <v>95</v>
      </c>
      <c r="E25" s="30" t="s">
        <v>96</v>
      </c>
      <c r="F25" s="30" t="s">
        <v>34</v>
      </c>
      <c r="G25" s="30" t="s">
        <v>172</v>
      </c>
      <c r="H25" s="30" t="s">
        <v>68</v>
      </c>
      <c r="I25" s="31">
        <v>7734.7</v>
      </c>
      <c r="J25" s="31">
        <v>464.08</v>
      </c>
      <c r="K25" s="31">
        <v>8198.7800000000007</v>
      </c>
      <c r="L25" s="27" t="s">
        <v>62</v>
      </c>
      <c r="M25" s="29">
        <v>45968</v>
      </c>
      <c r="N25" s="30" t="s">
        <v>173</v>
      </c>
    </row>
    <row r="26" spans="1:14" ht="16.5" customHeight="1" x14ac:dyDescent="0.3">
      <c r="A26" s="23" t="s">
        <v>174</v>
      </c>
      <c r="B26" s="24">
        <v>45970</v>
      </c>
      <c r="C26" s="24">
        <v>46000</v>
      </c>
      <c r="D26" s="25" t="s">
        <v>101</v>
      </c>
      <c r="E26" s="25" t="s">
        <v>102</v>
      </c>
      <c r="F26" s="25" t="s">
        <v>36</v>
      </c>
      <c r="G26" s="25" t="s">
        <v>175</v>
      </c>
      <c r="H26" s="25" t="s">
        <v>74</v>
      </c>
      <c r="I26" s="26">
        <v>43218.11</v>
      </c>
      <c r="J26" s="26">
        <v>2593.09</v>
      </c>
      <c r="K26" s="26">
        <v>45811.199999999997</v>
      </c>
      <c r="L26" s="27" t="s">
        <v>62</v>
      </c>
      <c r="M26" s="24">
        <v>46001</v>
      </c>
      <c r="N26" s="25" t="s">
        <v>176</v>
      </c>
    </row>
    <row r="27" spans="1:14" ht="16.5" customHeight="1" x14ac:dyDescent="0.3">
      <c r="A27" s="28" t="s">
        <v>177</v>
      </c>
      <c r="B27" s="29">
        <v>45999</v>
      </c>
      <c r="C27" s="29">
        <v>46029</v>
      </c>
      <c r="D27" s="30" t="s">
        <v>107</v>
      </c>
      <c r="E27" s="30" t="s">
        <v>108</v>
      </c>
      <c r="F27" s="30" t="s">
        <v>38</v>
      </c>
      <c r="G27" s="30" t="s">
        <v>178</v>
      </c>
      <c r="H27" s="30" t="s">
        <v>80</v>
      </c>
      <c r="I27" s="31">
        <v>25045.83</v>
      </c>
      <c r="J27" s="31">
        <v>1502.75</v>
      </c>
      <c r="K27" s="31">
        <v>26548.58</v>
      </c>
      <c r="L27" s="27" t="s">
        <v>62</v>
      </c>
      <c r="M27" s="29">
        <v>46025</v>
      </c>
      <c r="N27" s="30" t="s">
        <v>179</v>
      </c>
    </row>
    <row r="28" spans="1:14" ht="16.5" customHeight="1" x14ac:dyDescent="0.3">
      <c r="A28" s="23" t="s">
        <v>180</v>
      </c>
      <c r="B28" s="24">
        <v>45685</v>
      </c>
      <c r="C28" s="24">
        <v>45715</v>
      </c>
      <c r="D28" s="25" t="s">
        <v>113</v>
      </c>
      <c r="E28" s="25" t="s">
        <v>114</v>
      </c>
      <c r="F28" s="25" t="s">
        <v>20</v>
      </c>
      <c r="G28" s="25" t="s">
        <v>181</v>
      </c>
      <c r="H28" s="25" t="s">
        <v>86</v>
      </c>
      <c r="I28" s="26">
        <v>8352.9699999999993</v>
      </c>
      <c r="J28" s="26">
        <v>501.18</v>
      </c>
      <c r="K28" s="26">
        <v>8854.15</v>
      </c>
      <c r="L28" s="27" t="s">
        <v>62</v>
      </c>
      <c r="M28" s="24">
        <v>45712</v>
      </c>
      <c r="N28" s="25" t="s">
        <v>182</v>
      </c>
    </row>
    <row r="29" spans="1:14" ht="16.5" customHeight="1" x14ac:dyDescent="0.3">
      <c r="A29" s="28" t="s">
        <v>183</v>
      </c>
      <c r="B29" s="29">
        <v>45702</v>
      </c>
      <c r="C29" s="29">
        <v>45732</v>
      </c>
      <c r="D29" s="30" t="s">
        <v>119</v>
      </c>
      <c r="E29" s="30" t="s">
        <v>120</v>
      </c>
      <c r="F29" s="30" t="s">
        <v>25</v>
      </c>
      <c r="G29" s="30" t="s">
        <v>184</v>
      </c>
      <c r="H29" s="30" t="s">
        <v>92</v>
      </c>
      <c r="I29" s="31">
        <v>19207.11</v>
      </c>
      <c r="J29" s="31">
        <v>1152.43</v>
      </c>
      <c r="K29" s="31">
        <v>20359.54</v>
      </c>
      <c r="L29" s="27" t="s">
        <v>62</v>
      </c>
      <c r="M29" s="29">
        <v>45736</v>
      </c>
      <c r="N29" s="30" t="s">
        <v>185</v>
      </c>
    </row>
    <row r="30" spans="1:14" ht="16.5" customHeight="1" x14ac:dyDescent="0.3">
      <c r="A30" s="23" t="s">
        <v>186</v>
      </c>
      <c r="B30" s="24">
        <v>45733</v>
      </c>
      <c r="C30" s="24">
        <v>45763</v>
      </c>
      <c r="D30" s="25" t="s">
        <v>125</v>
      </c>
      <c r="E30" s="25" t="s">
        <v>126</v>
      </c>
      <c r="F30" s="25" t="s">
        <v>28</v>
      </c>
      <c r="G30" s="25" t="s">
        <v>187</v>
      </c>
      <c r="H30" s="25" t="s">
        <v>98</v>
      </c>
      <c r="I30" s="26">
        <v>46646.47</v>
      </c>
      <c r="J30" s="26">
        <v>2798.79</v>
      </c>
      <c r="K30" s="26">
        <v>49445.26</v>
      </c>
      <c r="L30" s="27" t="s">
        <v>62</v>
      </c>
      <c r="M30" s="24">
        <v>45758</v>
      </c>
      <c r="N30" s="25" t="s">
        <v>188</v>
      </c>
    </row>
    <row r="31" spans="1:14" ht="16.5" customHeight="1" x14ac:dyDescent="0.3">
      <c r="A31" s="28" t="s">
        <v>189</v>
      </c>
      <c r="B31" s="29">
        <v>45771</v>
      </c>
      <c r="C31" s="29">
        <v>45801</v>
      </c>
      <c r="D31" s="30" t="s">
        <v>131</v>
      </c>
      <c r="E31" s="30" t="s">
        <v>132</v>
      </c>
      <c r="F31" s="30" t="s">
        <v>30</v>
      </c>
      <c r="G31" s="30" t="s">
        <v>190</v>
      </c>
      <c r="H31" s="30" t="s">
        <v>104</v>
      </c>
      <c r="I31" s="31">
        <v>33104.050000000003</v>
      </c>
      <c r="J31" s="31">
        <v>1986.24</v>
      </c>
      <c r="K31" s="31">
        <v>35090.29</v>
      </c>
      <c r="L31" s="27" t="s">
        <v>62</v>
      </c>
      <c r="M31" s="29">
        <v>45804</v>
      </c>
      <c r="N31" s="30" t="s">
        <v>191</v>
      </c>
    </row>
    <row r="32" spans="1:14" ht="16.5" customHeight="1" x14ac:dyDescent="0.3">
      <c r="A32" s="23" t="s">
        <v>192</v>
      </c>
      <c r="B32" s="24">
        <v>45802</v>
      </c>
      <c r="C32" s="24">
        <v>45832</v>
      </c>
      <c r="D32" s="25" t="s">
        <v>137</v>
      </c>
      <c r="E32" s="25" t="s">
        <v>138</v>
      </c>
      <c r="F32" s="25" t="s">
        <v>32</v>
      </c>
      <c r="G32" s="25" t="s">
        <v>193</v>
      </c>
      <c r="H32" s="25" t="s">
        <v>110</v>
      </c>
      <c r="I32" s="26">
        <v>6420.64</v>
      </c>
      <c r="J32" s="26">
        <v>385.24</v>
      </c>
      <c r="K32" s="26">
        <v>6805.88</v>
      </c>
      <c r="L32" s="27" t="s">
        <v>62</v>
      </c>
      <c r="M32" s="24">
        <v>45833</v>
      </c>
      <c r="N32" s="25" t="s">
        <v>194</v>
      </c>
    </row>
    <row r="33" spans="1:14" ht="16.5" customHeight="1" x14ac:dyDescent="0.3">
      <c r="A33" s="28" t="s">
        <v>195</v>
      </c>
      <c r="B33" s="29">
        <v>45823</v>
      </c>
      <c r="C33" s="29">
        <v>45853</v>
      </c>
      <c r="D33" s="30" t="s">
        <v>143</v>
      </c>
      <c r="E33" s="30" t="s">
        <v>144</v>
      </c>
      <c r="F33" s="30" t="s">
        <v>34</v>
      </c>
      <c r="G33" s="30" t="s">
        <v>196</v>
      </c>
      <c r="H33" s="30" t="s">
        <v>116</v>
      </c>
      <c r="I33" s="31">
        <v>45838.59</v>
      </c>
      <c r="J33" s="31">
        <v>2750.32</v>
      </c>
      <c r="K33" s="31">
        <v>48588.91</v>
      </c>
      <c r="L33" s="27" t="s">
        <v>62</v>
      </c>
      <c r="M33" s="29">
        <v>45852</v>
      </c>
      <c r="N33" s="30" t="s">
        <v>197</v>
      </c>
    </row>
    <row r="34" spans="1:14" ht="16.5" customHeight="1" x14ac:dyDescent="0.3">
      <c r="A34" s="23" t="s">
        <v>198</v>
      </c>
      <c r="B34" s="24">
        <v>45863</v>
      </c>
      <c r="C34" s="24">
        <v>45893</v>
      </c>
      <c r="D34" s="25" t="s">
        <v>58</v>
      </c>
      <c r="E34" s="25" t="s">
        <v>59</v>
      </c>
      <c r="F34" s="25" t="s">
        <v>36</v>
      </c>
      <c r="G34" s="25" t="s">
        <v>199</v>
      </c>
      <c r="H34" s="25" t="s">
        <v>122</v>
      </c>
      <c r="I34" s="26">
        <v>24959.5</v>
      </c>
      <c r="J34" s="26">
        <v>1497.57</v>
      </c>
      <c r="K34" s="26">
        <v>26457.07</v>
      </c>
      <c r="L34" s="27" t="s">
        <v>62</v>
      </c>
      <c r="M34" s="24">
        <v>45889</v>
      </c>
      <c r="N34" s="25" t="s">
        <v>200</v>
      </c>
    </row>
    <row r="35" spans="1:14" ht="16.5" customHeight="1" x14ac:dyDescent="0.3">
      <c r="A35" s="28" t="s">
        <v>201</v>
      </c>
      <c r="B35" s="29">
        <v>45879</v>
      </c>
      <c r="C35" s="29">
        <v>45909</v>
      </c>
      <c r="D35" s="30" t="s">
        <v>65</v>
      </c>
      <c r="E35" s="30" t="s">
        <v>66</v>
      </c>
      <c r="F35" s="30" t="s">
        <v>38</v>
      </c>
      <c r="G35" s="30" t="s">
        <v>202</v>
      </c>
      <c r="H35" s="30" t="s">
        <v>128</v>
      </c>
      <c r="I35" s="31">
        <v>29699.81</v>
      </c>
      <c r="J35" s="31">
        <v>1781.99</v>
      </c>
      <c r="K35" s="31">
        <v>31481.8</v>
      </c>
      <c r="L35" s="27" t="s">
        <v>62</v>
      </c>
      <c r="M35" s="29">
        <v>45906</v>
      </c>
      <c r="N35" s="30" t="s">
        <v>203</v>
      </c>
    </row>
    <row r="36" spans="1:14" ht="16.5" customHeight="1" x14ac:dyDescent="0.3">
      <c r="A36" s="23" t="s">
        <v>204</v>
      </c>
      <c r="B36" s="24">
        <v>45925</v>
      </c>
      <c r="C36" s="24">
        <v>45955</v>
      </c>
      <c r="D36" s="25" t="s">
        <v>71</v>
      </c>
      <c r="E36" s="25" t="s">
        <v>72</v>
      </c>
      <c r="F36" s="25" t="s">
        <v>20</v>
      </c>
      <c r="G36" s="25" t="s">
        <v>205</v>
      </c>
      <c r="H36" s="25" t="s">
        <v>134</v>
      </c>
      <c r="I36" s="26">
        <v>26442.94</v>
      </c>
      <c r="J36" s="26">
        <v>1586.58</v>
      </c>
      <c r="K36" s="26">
        <v>28029.52</v>
      </c>
      <c r="L36" s="27" t="s">
        <v>62</v>
      </c>
      <c r="M36" s="24">
        <v>45958</v>
      </c>
      <c r="N36" s="25" t="s">
        <v>206</v>
      </c>
    </row>
    <row r="37" spans="1:14" ht="16.5" customHeight="1" x14ac:dyDescent="0.3">
      <c r="A37" s="28" t="s">
        <v>207</v>
      </c>
      <c r="B37" s="29">
        <v>45950</v>
      </c>
      <c r="C37" s="29">
        <v>45980</v>
      </c>
      <c r="D37" s="30" t="s">
        <v>77</v>
      </c>
      <c r="E37" s="30" t="s">
        <v>78</v>
      </c>
      <c r="F37" s="30" t="s">
        <v>25</v>
      </c>
      <c r="G37" s="30" t="s">
        <v>208</v>
      </c>
      <c r="H37" s="30" t="s">
        <v>140</v>
      </c>
      <c r="I37" s="31">
        <v>24066.75</v>
      </c>
      <c r="J37" s="31">
        <v>1444</v>
      </c>
      <c r="K37" s="31">
        <v>25510.75</v>
      </c>
      <c r="L37" s="27" t="s">
        <v>62</v>
      </c>
      <c r="M37" s="29">
        <v>45976</v>
      </c>
      <c r="N37" s="30" t="s">
        <v>209</v>
      </c>
    </row>
    <row r="38" spans="1:14" ht="16.5" customHeight="1" x14ac:dyDescent="0.3">
      <c r="A38" s="23" t="s">
        <v>210</v>
      </c>
      <c r="B38" s="24">
        <v>45988</v>
      </c>
      <c r="C38" s="24">
        <v>46018</v>
      </c>
      <c r="D38" s="25" t="s">
        <v>83</v>
      </c>
      <c r="E38" s="25" t="s">
        <v>84</v>
      </c>
      <c r="F38" s="25" t="s">
        <v>28</v>
      </c>
      <c r="G38" s="25" t="s">
        <v>211</v>
      </c>
      <c r="H38" s="25" t="s">
        <v>146</v>
      </c>
      <c r="I38" s="26">
        <v>12406.37</v>
      </c>
      <c r="J38" s="26">
        <v>744.38</v>
      </c>
      <c r="K38" s="26">
        <v>13150.75</v>
      </c>
      <c r="L38" s="27" t="s">
        <v>62</v>
      </c>
      <c r="M38" s="24">
        <v>46016</v>
      </c>
      <c r="N38" s="25" t="s">
        <v>212</v>
      </c>
    </row>
    <row r="39" spans="1:14" ht="16.5" customHeight="1" x14ac:dyDescent="0.3">
      <c r="A39" s="28" t="s">
        <v>213</v>
      </c>
      <c r="B39" s="29">
        <v>45994</v>
      </c>
      <c r="C39" s="29">
        <v>46024</v>
      </c>
      <c r="D39" s="30" t="s">
        <v>89</v>
      </c>
      <c r="E39" s="30" t="s">
        <v>90</v>
      </c>
      <c r="F39" s="30" t="s">
        <v>30</v>
      </c>
      <c r="G39" s="30" t="s">
        <v>214</v>
      </c>
      <c r="H39" s="30" t="s">
        <v>150</v>
      </c>
      <c r="I39" s="31">
        <v>35453.279999999999</v>
      </c>
      <c r="J39" s="31">
        <v>2127.1999999999998</v>
      </c>
      <c r="K39" s="31">
        <v>37580.480000000003</v>
      </c>
      <c r="L39" s="27" t="s">
        <v>62</v>
      </c>
      <c r="M39" s="29">
        <v>46020</v>
      </c>
      <c r="N39" s="30" t="s">
        <v>215</v>
      </c>
    </row>
    <row r="40" spans="1:14" ht="16.5" customHeight="1" x14ac:dyDescent="0.3">
      <c r="A40" s="23" t="s">
        <v>216</v>
      </c>
      <c r="B40" s="24">
        <v>45682</v>
      </c>
      <c r="C40" s="24">
        <v>45712</v>
      </c>
      <c r="D40" s="25" t="s">
        <v>95</v>
      </c>
      <c r="E40" s="25" t="s">
        <v>96</v>
      </c>
      <c r="F40" s="25" t="s">
        <v>32</v>
      </c>
      <c r="G40" s="25" t="s">
        <v>217</v>
      </c>
      <c r="H40" s="25" t="s">
        <v>154</v>
      </c>
      <c r="I40" s="26">
        <v>7208.72</v>
      </c>
      <c r="J40" s="26">
        <v>432.52</v>
      </c>
      <c r="K40" s="26">
        <v>7641.24</v>
      </c>
      <c r="L40" s="27" t="s">
        <v>62</v>
      </c>
      <c r="M40" s="24">
        <v>45714</v>
      </c>
      <c r="N40" s="25" t="s">
        <v>218</v>
      </c>
    </row>
    <row r="41" spans="1:14" ht="16.5" customHeight="1" x14ac:dyDescent="0.3">
      <c r="A41" s="28" t="s">
        <v>219</v>
      </c>
      <c r="B41" s="29">
        <v>45694</v>
      </c>
      <c r="C41" s="29">
        <v>45724</v>
      </c>
      <c r="D41" s="30" t="s">
        <v>101</v>
      </c>
      <c r="E41" s="30" t="s">
        <v>102</v>
      </c>
      <c r="F41" s="30" t="s">
        <v>34</v>
      </c>
      <c r="G41" s="30" t="s">
        <v>220</v>
      </c>
      <c r="H41" s="30" t="s">
        <v>158</v>
      </c>
      <c r="I41" s="31">
        <v>25895.13</v>
      </c>
      <c r="J41" s="31">
        <v>1553.71</v>
      </c>
      <c r="K41" s="31">
        <v>27448.84</v>
      </c>
      <c r="L41" s="27" t="s">
        <v>62</v>
      </c>
      <c r="M41" s="29">
        <v>45728</v>
      </c>
      <c r="N41" s="30" t="s">
        <v>221</v>
      </c>
    </row>
    <row r="42" spans="1:14" ht="16.5" customHeight="1" x14ac:dyDescent="0.3">
      <c r="A42" s="23" t="s">
        <v>222</v>
      </c>
      <c r="B42" s="24">
        <v>45723</v>
      </c>
      <c r="C42" s="24">
        <v>45753</v>
      </c>
      <c r="D42" s="25" t="s">
        <v>107</v>
      </c>
      <c r="E42" s="25" t="s">
        <v>108</v>
      </c>
      <c r="F42" s="25" t="s">
        <v>36</v>
      </c>
      <c r="G42" s="25" t="s">
        <v>223</v>
      </c>
      <c r="H42" s="25" t="s">
        <v>162</v>
      </c>
      <c r="I42" s="26">
        <v>36546.410000000003</v>
      </c>
      <c r="J42" s="26">
        <v>2192.7800000000002</v>
      </c>
      <c r="K42" s="26">
        <v>38739.19</v>
      </c>
      <c r="L42" s="27" t="s">
        <v>62</v>
      </c>
      <c r="M42" s="24">
        <v>45751</v>
      </c>
      <c r="N42" s="25" t="s">
        <v>224</v>
      </c>
    </row>
    <row r="43" spans="1:14" ht="16.5" customHeight="1" x14ac:dyDescent="0.3">
      <c r="A43" s="28" t="s">
        <v>225</v>
      </c>
      <c r="B43" s="29">
        <v>45760</v>
      </c>
      <c r="C43" s="29">
        <v>45790</v>
      </c>
      <c r="D43" s="30" t="s">
        <v>113</v>
      </c>
      <c r="E43" s="30" t="s">
        <v>114</v>
      </c>
      <c r="F43" s="30" t="s">
        <v>38</v>
      </c>
      <c r="G43" s="30" t="s">
        <v>226</v>
      </c>
      <c r="H43" s="30" t="s">
        <v>166</v>
      </c>
      <c r="I43" s="31">
        <v>21703.08</v>
      </c>
      <c r="J43" s="31">
        <v>1302.18</v>
      </c>
      <c r="K43" s="31">
        <v>23005.26</v>
      </c>
      <c r="L43" s="27" t="s">
        <v>62</v>
      </c>
      <c r="M43" s="29">
        <v>45793</v>
      </c>
      <c r="N43" s="30" t="s">
        <v>227</v>
      </c>
    </row>
    <row r="44" spans="1:14" ht="16.5" customHeight="1" x14ac:dyDescent="0.3">
      <c r="A44" s="23" t="s">
        <v>228</v>
      </c>
      <c r="B44" s="24">
        <v>45781</v>
      </c>
      <c r="C44" s="24">
        <v>45811</v>
      </c>
      <c r="D44" s="25" t="s">
        <v>119</v>
      </c>
      <c r="E44" s="25" t="s">
        <v>120</v>
      </c>
      <c r="F44" s="25" t="s">
        <v>20</v>
      </c>
      <c r="G44" s="25" t="s">
        <v>229</v>
      </c>
      <c r="H44" s="25" t="s">
        <v>61</v>
      </c>
      <c r="I44" s="26">
        <v>11715.84</v>
      </c>
      <c r="J44" s="26">
        <v>702.95</v>
      </c>
      <c r="K44" s="26">
        <v>12418.79</v>
      </c>
      <c r="L44" s="27" t="s">
        <v>62</v>
      </c>
      <c r="M44" s="24">
        <v>45811</v>
      </c>
      <c r="N44" s="25" t="s">
        <v>230</v>
      </c>
    </row>
    <row r="45" spans="1:14" ht="16.5" customHeight="1" x14ac:dyDescent="0.3">
      <c r="A45" s="28" t="s">
        <v>231</v>
      </c>
      <c r="B45" s="29">
        <v>45827</v>
      </c>
      <c r="C45" s="29">
        <v>45857</v>
      </c>
      <c r="D45" s="30" t="s">
        <v>125</v>
      </c>
      <c r="E45" s="30" t="s">
        <v>126</v>
      </c>
      <c r="F45" s="30" t="s">
        <v>25</v>
      </c>
      <c r="G45" s="30" t="s">
        <v>232</v>
      </c>
      <c r="H45" s="30" t="s">
        <v>68</v>
      </c>
      <c r="I45" s="31">
        <v>28739</v>
      </c>
      <c r="J45" s="31">
        <v>1724.34</v>
      </c>
      <c r="K45" s="31">
        <v>30463.34</v>
      </c>
      <c r="L45" s="27" t="s">
        <v>62</v>
      </c>
      <c r="M45" s="29">
        <v>45852</v>
      </c>
      <c r="N45" s="30" t="s">
        <v>233</v>
      </c>
    </row>
    <row r="46" spans="1:14" ht="16.5" customHeight="1" x14ac:dyDescent="0.3">
      <c r="A46" s="23" t="s">
        <v>234</v>
      </c>
      <c r="B46" s="24">
        <v>45861</v>
      </c>
      <c r="C46" s="24">
        <v>45891</v>
      </c>
      <c r="D46" s="25" t="s">
        <v>131</v>
      </c>
      <c r="E46" s="25" t="s">
        <v>132</v>
      </c>
      <c r="F46" s="25" t="s">
        <v>28</v>
      </c>
      <c r="G46" s="25" t="s">
        <v>235</v>
      </c>
      <c r="H46" s="25" t="s">
        <v>74</v>
      </c>
      <c r="I46" s="26">
        <v>11914.48</v>
      </c>
      <c r="J46" s="26">
        <v>714.87</v>
      </c>
      <c r="K46" s="26">
        <v>12629.35</v>
      </c>
      <c r="L46" s="27" t="s">
        <v>62</v>
      </c>
      <c r="M46" s="24">
        <v>45886</v>
      </c>
      <c r="N46" s="25" t="s">
        <v>236</v>
      </c>
    </row>
    <row r="47" spans="1:14" ht="16.5" customHeight="1" x14ac:dyDescent="0.3">
      <c r="A47" s="28" t="s">
        <v>237</v>
      </c>
      <c r="B47" s="29">
        <v>45872</v>
      </c>
      <c r="C47" s="29">
        <v>45902</v>
      </c>
      <c r="D47" s="30" t="s">
        <v>137</v>
      </c>
      <c r="E47" s="30" t="s">
        <v>138</v>
      </c>
      <c r="F47" s="30" t="s">
        <v>30</v>
      </c>
      <c r="G47" s="30" t="s">
        <v>238</v>
      </c>
      <c r="H47" s="30" t="s">
        <v>80</v>
      </c>
      <c r="I47" s="31">
        <v>12338.62</v>
      </c>
      <c r="J47" s="31">
        <v>740.32</v>
      </c>
      <c r="K47" s="31">
        <v>13078.94</v>
      </c>
      <c r="L47" s="27" t="s">
        <v>62</v>
      </c>
      <c r="M47" s="29">
        <v>45907</v>
      </c>
      <c r="N47" s="30" t="s">
        <v>239</v>
      </c>
    </row>
    <row r="48" spans="1:14" ht="16.5" customHeight="1" x14ac:dyDescent="0.3">
      <c r="A48" s="23" t="s">
        <v>240</v>
      </c>
      <c r="B48" s="24">
        <v>45907</v>
      </c>
      <c r="C48" s="24">
        <v>45937</v>
      </c>
      <c r="D48" s="25" t="s">
        <v>143</v>
      </c>
      <c r="E48" s="25" t="s">
        <v>144</v>
      </c>
      <c r="F48" s="25" t="s">
        <v>32</v>
      </c>
      <c r="G48" s="25" t="s">
        <v>241</v>
      </c>
      <c r="H48" s="25" t="s">
        <v>86</v>
      </c>
      <c r="I48" s="26">
        <v>7392.19</v>
      </c>
      <c r="J48" s="26">
        <v>443.53</v>
      </c>
      <c r="K48" s="26">
        <v>7835.72</v>
      </c>
      <c r="L48" s="27" t="s">
        <v>62</v>
      </c>
      <c r="M48" s="24">
        <v>45941</v>
      </c>
      <c r="N48" s="25" t="s">
        <v>242</v>
      </c>
    </row>
    <row r="49" spans="1:14" ht="16.5" customHeight="1" x14ac:dyDescent="0.3">
      <c r="A49" s="28" t="s">
        <v>243</v>
      </c>
      <c r="B49" s="29">
        <v>45946</v>
      </c>
      <c r="C49" s="29">
        <v>45976</v>
      </c>
      <c r="D49" s="30" t="s">
        <v>58</v>
      </c>
      <c r="E49" s="30" t="s">
        <v>59</v>
      </c>
      <c r="F49" s="30" t="s">
        <v>34</v>
      </c>
      <c r="G49" s="30" t="s">
        <v>244</v>
      </c>
      <c r="H49" s="30" t="s">
        <v>92</v>
      </c>
      <c r="I49" s="31">
        <v>37920.19</v>
      </c>
      <c r="J49" s="31">
        <v>2275.21</v>
      </c>
      <c r="K49" s="31">
        <v>40195.4</v>
      </c>
      <c r="L49" s="27" t="s">
        <v>62</v>
      </c>
      <c r="M49" s="29">
        <v>45977</v>
      </c>
      <c r="N49" s="30" t="s">
        <v>245</v>
      </c>
    </row>
    <row r="50" spans="1:14" ht="16.5" customHeight="1" x14ac:dyDescent="0.3">
      <c r="A50" s="23" t="s">
        <v>246</v>
      </c>
      <c r="B50" s="24">
        <v>45965</v>
      </c>
      <c r="C50" s="24">
        <v>45995</v>
      </c>
      <c r="D50" s="25" t="s">
        <v>65</v>
      </c>
      <c r="E50" s="25" t="s">
        <v>66</v>
      </c>
      <c r="F50" s="25" t="s">
        <v>36</v>
      </c>
      <c r="G50" s="25" t="s">
        <v>247</v>
      </c>
      <c r="H50" s="25" t="s">
        <v>98</v>
      </c>
      <c r="I50" s="26">
        <v>32040.39</v>
      </c>
      <c r="J50" s="26">
        <v>1922.42</v>
      </c>
      <c r="K50" s="26">
        <v>33962.81</v>
      </c>
      <c r="L50" s="27" t="s">
        <v>62</v>
      </c>
      <c r="M50" s="24">
        <v>45995</v>
      </c>
      <c r="N50" s="25" t="s">
        <v>248</v>
      </c>
    </row>
    <row r="51" spans="1:14" ht="16.5" customHeight="1" x14ac:dyDescent="0.3">
      <c r="A51" s="28" t="s">
        <v>249</v>
      </c>
      <c r="B51" s="29">
        <v>46005</v>
      </c>
      <c r="C51" s="29">
        <v>46035</v>
      </c>
      <c r="D51" s="30" t="s">
        <v>71</v>
      </c>
      <c r="E51" s="30" t="s">
        <v>72</v>
      </c>
      <c r="F51" s="30" t="s">
        <v>38</v>
      </c>
      <c r="G51" s="30" t="s">
        <v>250</v>
      </c>
      <c r="H51" s="30" t="s">
        <v>104</v>
      </c>
      <c r="I51" s="31">
        <v>41627.56</v>
      </c>
      <c r="J51" s="31">
        <v>2497.65</v>
      </c>
      <c r="K51" s="31">
        <v>44125.21</v>
      </c>
      <c r="L51" s="27" t="s">
        <v>62</v>
      </c>
      <c r="M51" s="29">
        <v>46030</v>
      </c>
      <c r="N51" s="30" t="s">
        <v>251</v>
      </c>
    </row>
    <row r="52" spans="1:14" ht="16.5" customHeight="1" x14ac:dyDescent="0.3">
      <c r="A52" s="23" t="s">
        <v>252</v>
      </c>
      <c r="B52" s="24">
        <v>45678</v>
      </c>
      <c r="C52" s="24">
        <v>45708</v>
      </c>
      <c r="D52" s="25" t="s">
        <v>77</v>
      </c>
      <c r="E52" s="25" t="s">
        <v>78</v>
      </c>
      <c r="F52" s="25" t="s">
        <v>20</v>
      </c>
      <c r="G52" s="25" t="s">
        <v>253</v>
      </c>
      <c r="H52" s="25" t="s">
        <v>110</v>
      </c>
      <c r="I52" s="26">
        <v>4036.67</v>
      </c>
      <c r="J52" s="26">
        <v>242.2</v>
      </c>
      <c r="K52" s="26">
        <v>4278.87</v>
      </c>
      <c r="L52" s="27" t="s">
        <v>62</v>
      </c>
      <c r="M52" s="24">
        <v>45708</v>
      </c>
      <c r="N52" s="25" t="s">
        <v>254</v>
      </c>
    </row>
    <row r="53" spans="1:14" ht="16.5" customHeight="1" x14ac:dyDescent="0.3">
      <c r="A53" s="28" t="s">
        <v>255</v>
      </c>
      <c r="B53" s="29">
        <v>45696</v>
      </c>
      <c r="C53" s="29">
        <v>45726</v>
      </c>
      <c r="D53" s="30" t="s">
        <v>83</v>
      </c>
      <c r="E53" s="30" t="s">
        <v>84</v>
      </c>
      <c r="F53" s="30" t="s">
        <v>25</v>
      </c>
      <c r="G53" s="30" t="s">
        <v>256</v>
      </c>
      <c r="H53" s="30" t="s">
        <v>116</v>
      </c>
      <c r="I53" s="31">
        <v>10101.780000000001</v>
      </c>
      <c r="J53" s="31">
        <v>606.11</v>
      </c>
      <c r="K53" s="31">
        <v>10707.89</v>
      </c>
      <c r="L53" s="27" t="s">
        <v>62</v>
      </c>
      <c r="M53" s="29">
        <v>45728</v>
      </c>
      <c r="N53" s="30" t="s">
        <v>257</v>
      </c>
    </row>
    <row r="54" spans="1:14" ht="16.5" customHeight="1" x14ac:dyDescent="0.3">
      <c r="A54" s="23" t="s">
        <v>258</v>
      </c>
      <c r="B54" s="24">
        <v>45730</v>
      </c>
      <c r="C54" s="24">
        <v>45760</v>
      </c>
      <c r="D54" s="25" t="s">
        <v>89</v>
      </c>
      <c r="E54" s="25" t="s">
        <v>90</v>
      </c>
      <c r="F54" s="25" t="s">
        <v>28</v>
      </c>
      <c r="G54" s="25" t="s">
        <v>259</v>
      </c>
      <c r="H54" s="25" t="s">
        <v>122</v>
      </c>
      <c r="I54" s="26">
        <v>14235.91</v>
      </c>
      <c r="J54" s="26">
        <v>854.15</v>
      </c>
      <c r="K54" s="26">
        <v>15090.06</v>
      </c>
      <c r="L54" s="27" t="s">
        <v>62</v>
      </c>
      <c r="M54" s="24">
        <v>45758</v>
      </c>
      <c r="N54" s="25" t="s">
        <v>260</v>
      </c>
    </row>
    <row r="55" spans="1:14" ht="16.5" customHeight="1" x14ac:dyDescent="0.3">
      <c r="A55" s="28" t="s">
        <v>261</v>
      </c>
      <c r="B55" s="29">
        <v>45762</v>
      </c>
      <c r="C55" s="29">
        <v>45792</v>
      </c>
      <c r="D55" s="30" t="s">
        <v>95</v>
      </c>
      <c r="E55" s="30" t="s">
        <v>96</v>
      </c>
      <c r="F55" s="30" t="s">
        <v>30</v>
      </c>
      <c r="G55" s="30" t="s">
        <v>262</v>
      </c>
      <c r="H55" s="30" t="s">
        <v>128</v>
      </c>
      <c r="I55" s="31">
        <v>3567.53</v>
      </c>
      <c r="J55" s="31">
        <v>214.05</v>
      </c>
      <c r="K55" s="31">
        <v>3781.58</v>
      </c>
      <c r="L55" s="27" t="s">
        <v>62</v>
      </c>
      <c r="M55" s="29">
        <v>45795</v>
      </c>
      <c r="N55" s="30" t="s">
        <v>263</v>
      </c>
    </row>
    <row r="56" spans="1:14" ht="16.5" customHeight="1" x14ac:dyDescent="0.3">
      <c r="A56" s="23" t="s">
        <v>264</v>
      </c>
      <c r="B56" s="24">
        <v>45780</v>
      </c>
      <c r="C56" s="24">
        <v>45810</v>
      </c>
      <c r="D56" s="25" t="s">
        <v>101</v>
      </c>
      <c r="E56" s="25" t="s">
        <v>102</v>
      </c>
      <c r="F56" s="25" t="s">
        <v>32</v>
      </c>
      <c r="G56" s="25" t="s">
        <v>265</v>
      </c>
      <c r="H56" s="25" t="s">
        <v>134</v>
      </c>
      <c r="I56" s="26">
        <v>8983.36</v>
      </c>
      <c r="J56" s="26">
        <v>539</v>
      </c>
      <c r="K56" s="26">
        <v>9522.36</v>
      </c>
      <c r="L56" s="27" t="s">
        <v>62</v>
      </c>
      <c r="M56" s="24">
        <v>45812</v>
      </c>
      <c r="N56" s="25" t="s">
        <v>266</v>
      </c>
    </row>
    <row r="57" spans="1:14" ht="16.5" customHeight="1" x14ac:dyDescent="0.3">
      <c r="A57" s="28" t="s">
        <v>267</v>
      </c>
      <c r="B57" s="29">
        <v>45815</v>
      </c>
      <c r="C57" s="29">
        <v>45845</v>
      </c>
      <c r="D57" s="30" t="s">
        <v>107</v>
      </c>
      <c r="E57" s="30" t="s">
        <v>108</v>
      </c>
      <c r="F57" s="30" t="s">
        <v>34</v>
      </c>
      <c r="G57" s="30" t="s">
        <v>268</v>
      </c>
      <c r="H57" s="30" t="s">
        <v>140</v>
      </c>
      <c r="I57" s="31">
        <v>43434.33</v>
      </c>
      <c r="J57" s="31">
        <v>2606.06</v>
      </c>
      <c r="K57" s="31">
        <v>46040.39</v>
      </c>
      <c r="L57" s="27" t="s">
        <v>62</v>
      </c>
      <c r="M57" s="29">
        <v>45842</v>
      </c>
      <c r="N57" s="30" t="s">
        <v>269</v>
      </c>
    </row>
    <row r="58" spans="1:14" ht="16.5" customHeight="1" x14ac:dyDescent="0.3">
      <c r="A58" s="23" t="s">
        <v>270</v>
      </c>
      <c r="B58" s="24">
        <v>45839</v>
      </c>
      <c r="C58" s="24">
        <v>45869</v>
      </c>
      <c r="D58" s="25" t="s">
        <v>113</v>
      </c>
      <c r="E58" s="25" t="s">
        <v>114</v>
      </c>
      <c r="F58" s="25" t="s">
        <v>36</v>
      </c>
      <c r="G58" s="25" t="s">
        <v>271</v>
      </c>
      <c r="H58" s="25" t="s">
        <v>146</v>
      </c>
      <c r="I58" s="26">
        <v>13611.5</v>
      </c>
      <c r="J58" s="26">
        <v>816.69</v>
      </c>
      <c r="K58" s="26">
        <v>14428.19</v>
      </c>
      <c r="L58" s="27" t="s">
        <v>62</v>
      </c>
      <c r="M58" s="24">
        <v>45871</v>
      </c>
      <c r="N58" s="25" t="s">
        <v>272</v>
      </c>
    </row>
    <row r="59" spans="1:14" ht="16.5" customHeight="1" x14ac:dyDescent="0.3">
      <c r="A59" s="28" t="s">
        <v>273</v>
      </c>
      <c r="B59" s="29">
        <v>45883</v>
      </c>
      <c r="C59" s="29">
        <v>45913</v>
      </c>
      <c r="D59" s="30" t="s">
        <v>119</v>
      </c>
      <c r="E59" s="30" t="s">
        <v>120</v>
      </c>
      <c r="F59" s="30" t="s">
        <v>38</v>
      </c>
      <c r="G59" s="30" t="s">
        <v>274</v>
      </c>
      <c r="H59" s="30" t="s">
        <v>150</v>
      </c>
      <c r="I59" s="31">
        <v>8444.49</v>
      </c>
      <c r="J59" s="31">
        <v>506.67</v>
      </c>
      <c r="K59" s="31">
        <v>8951.16</v>
      </c>
      <c r="L59" s="32" t="s">
        <v>275</v>
      </c>
      <c r="M59" s="30"/>
      <c r="N59" s="30" t="s">
        <v>276</v>
      </c>
    </row>
    <row r="60" spans="1:14" ht="16.5" customHeight="1" x14ac:dyDescent="0.3">
      <c r="A60" s="23" t="s">
        <v>277</v>
      </c>
      <c r="B60" s="24">
        <v>45910</v>
      </c>
      <c r="C60" s="24">
        <v>45940</v>
      </c>
      <c r="D60" s="25" t="s">
        <v>125</v>
      </c>
      <c r="E60" s="25" t="s">
        <v>126</v>
      </c>
      <c r="F60" s="25" t="s">
        <v>20</v>
      </c>
      <c r="G60" s="25" t="s">
        <v>278</v>
      </c>
      <c r="H60" s="25" t="s">
        <v>154</v>
      </c>
      <c r="I60" s="26">
        <v>46535.6</v>
      </c>
      <c r="J60" s="26">
        <v>2792.14</v>
      </c>
      <c r="K60" s="26">
        <v>49327.74</v>
      </c>
      <c r="L60" s="32" t="s">
        <v>275</v>
      </c>
      <c r="M60" s="25"/>
      <c r="N60" s="25" t="s">
        <v>276</v>
      </c>
    </row>
    <row r="61" spans="1:14" ht="16.5" customHeight="1" x14ac:dyDescent="0.3">
      <c r="A61" s="28" t="s">
        <v>279</v>
      </c>
      <c r="B61" s="29">
        <v>45949</v>
      </c>
      <c r="C61" s="29">
        <v>45979</v>
      </c>
      <c r="D61" s="30" t="s">
        <v>131</v>
      </c>
      <c r="E61" s="30" t="s">
        <v>132</v>
      </c>
      <c r="F61" s="30" t="s">
        <v>25</v>
      </c>
      <c r="G61" s="30" t="s">
        <v>280</v>
      </c>
      <c r="H61" s="30" t="s">
        <v>158</v>
      </c>
      <c r="I61" s="31">
        <v>4052.81</v>
      </c>
      <c r="J61" s="31">
        <v>243.17</v>
      </c>
      <c r="K61" s="31">
        <v>4295.9799999999996</v>
      </c>
      <c r="L61" s="32" t="s">
        <v>275</v>
      </c>
      <c r="M61" s="30"/>
      <c r="N61" s="30" t="s">
        <v>276</v>
      </c>
    </row>
    <row r="62" spans="1:14" ht="16.5" customHeight="1" x14ac:dyDescent="0.3">
      <c r="A62" s="23" t="s">
        <v>281</v>
      </c>
      <c r="B62" s="24">
        <v>45972</v>
      </c>
      <c r="C62" s="24">
        <v>46002</v>
      </c>
      <c r="D62" s="25" t="s">
        <v>137</v>
      </c>
      <c r="E62" s="25" t="s">
        <v>138</v>
      </c>
      <c r="F62" s="25" t="s">
        <v>28</v>
      </c>
      <c r="G62" s="25" t="s">
        <v>282</v>
      </c>
      <c r="H62" s="25" t="s">
        <v>162</v>
      </c>
      <c r="I62" s="26">
        <v>3546.66</v>
      </c>
      <c r="J62" s="26">
        <v>212.8</v>
      </c>
      <c r="K62" s="26">
        <v>3759.46</v>
      </c>
      <c r="L62" s="32" t="s">
        <v>275</v>
      </c>
      <c r="M62" s="25"/>
      <c r="N62" s="25" t="s">
        <v>276</v>
      </c>
    </row>
    <row r="63" spans="1:14" ht="16.5" customHeight="1" x14ac:dyDescent="0.3">
      <c r="A63" s="28" t="s">
        <v>283</v>
      </c>
      <c r="B63" s="29">
        <v>46007</v>
      </c>
      <c r="C63" s="29">
        <v>46037</v>
      </c>
      <c r="D63" s="30" t="s">
        <v>143</v>
      </c>
      <c r="E63" s="30" t="s">
        <v>144</v>
      </c>
      <c r="F63" s="30" t="s">
        <v>30</v>
      </c>
      <c r="G63" s="30" t="s">
        <v>284</v>
      </c>
      <c r="H63" s="30" t="s">
        <v>166</v>
      </c>
      <c r="I63" s="31">
        <v>44227.32</v>
      </c>
      <c r="J63" s="31">
        <v>2653.64</v>
      </c>
      <c r="K63" s="31">
        <v>46880.959999999999</v>
      </c>
      <c r="L63" s="32" t="s">
        <v>275</v>
      </c>
      <c r="M63" s="30"/>
      <c r="N63" s="30" t="s">
        <v>276</v>
      </c>
    </row>
    <row r="64" spans="1:14" ht="16.5" customHeight="1" x14ac:dyDescent="0.3">
      <c r="A64" s="23" t="s">
        <v>285</v>
      </c>
      <c r="B64" s="24">
        <v>45674</v>
      </c>
      <c r="C64" s="24">
        <v>45704</v>
      </c>
      <c r="D64" s="25" t="s">
        <v>58</v>
      </c>
      <c r="E64" s="25" t="s">
        <v>59</v>
      </c>
      <c r="F64" s="25" t="s">
        <v>32</v>
      </c>
      <c r="G64" s="25" t="s">
        <v>286</v>
      </c>
      <c r="H64" s="25" t="s">
        <v>61</v>
      </c>
      <c r="I64" s="26">
        <v>3861.96</v>
      </c>
      <c r="J64" s="26">
        <v>231.72</v>
      </c>
      <c r="K64" s="26">
        <v>4093.68</v>
      </c>
      <c r="L64" s="32" t="s">
        <v>275</v>
      </c>
      <c r="M64" s="25"/>
      <c r="N64" s="25" t="s">
        <v>276</v>
      </c>
    </row>
    <row r="65" spans="1:14" ht="16.5" customHeight="1" x14ac:dyDescent="0.3">
      <c r="A65" s="28" t="s">
        <v>287</v>
      </c>
      <c r="B65" s="29">
        <v>45705</v>
      </c>
      <c r="C65" s="29">
        <v>45735</v>
      </c>
      <c r="D65" s="30" t="s">
        <v>65</v>
      </c>
      <c r="E65" s="30" t="s">
        <v>66</v>
      </c>
      <c r="F65" s="30" t="s">
        <v>34</v>
      </c>
      <c r="G65" s="30" t="s">
        <v>288</v>
      </c>
      <c r="H65" s="30" t="s">
        <v>68</v>
      </c>
      <c r="I65" s="31">
        <v>41042.83</v>
      </c>
      <c r="J65" s="31">
        <v>2462.5700000000002</v>
      </c>
      <c r="K65" s="31">
        <v>43505.4</v>
      </c>
      <c r="L65" s="32" t="s">
        <v>275</v>
      </c>
      <c r="M65" s="30"/>
      <c r="N65" s="30" t="s">
        <v>276</v>
      </c>
    </row>
    <row r="66" spans="1:14" ht="16.5" customHeight="1" x14ac:dyDescent="0.3">
      <c r="A66" s="23" t="s">
        <v>289</v>
      </c>
      <c r="B66" s="24">
        <v>45719</v>
      </c>
      <c r="C66" s="24">
        <v>45749</v>
      </c>
      <c r="D66" s="25" t="s">
        <v>71</v>
      </c>
      <c r="E66" s="25" t="s">
        <v>72</v>
      </c>
      <c r="F66" s="25" t="s">
        <v>36</v>
      </c>
      <c r="G66" s="25" t="s">
        <v>290</v>
      </c>
      <c r="H66" s="25" t="s">
        <v>74</v>
      </c>
      <c r="I66" s="26">
        <v>32799.949999999997</v>
      </c>
      <c r="J66" s="26">
        <v>1968</v>
      </c>
      <c r="K66" s="26">
        <v>34767.949999999997</v>
      </c>
      <c r="L66" s="32" t="s">
        <v>275</v>
      </c>
      <c r="M66" s="25"/>
      <c r="N66" s="25" t="s">
        <v>276</v>
      </c>
    </row>
    <row r="67" spans="1:14" ht="16.5" customHeight="1" x14ac:dyDescent="0.3">
      <c r="A67" s="28" t="s">
        <v>291</v>
      </c>
      <c r="B67" s="29">
        <v>45755</v>
      </c>
      <c r="C67" s="29">
        <v>45785</v>
      </c>
      <c r="D67" s="30" t="s">
        <v>77</v>
      </c>
      <c r="E67" s="30" t="s">
        <v>78</v>
      </c>
      <c r="F67" s="30" t="s">
        <v>38</v>
      </c>
      <c r="G67" s="30" t="s">
        <v>292</v>
      </c>
      <c r="H67" s="30" t="s">
        <v>80</v>
      </c>
      <c r="I67" s="31">
        <v>6810.69</v>
      </c>
      <c r="J67" s="31">
        <v>408.64</v>
      </c>
      <c r="K67" s="31">
        <v>7219.33</v>
      </c>
      <c r="L67" s="32" t="s">
        <v>275</v>
      </c>
      <c r="M67" s="30"/>
      <c r="N67" s="30" t="s">
        <v>276</v>
      </c>
    </row>
    <row r="68" spans="1:14" ht="16.5" customHeight="1" x14ac:dyDescent="0.3">
      <c r="A68" s="23" t="s">
        <v>293</v>
      </c>
      <c r="B68" s="24">
        <v>45796</v>
      </c>
      <c r="C68" s="24">
        <v>45826</v>
      </c>
      <c r="D68" s="25" t="s">
        <v>83</v>
      </c>
      <c r="E68" s="25" t="s">
        <v>84</v>
      </c>
      <c r="F68" s="25" t="s">
        <v>20</v>
      </c>
      <c r="G68" s="25" t="s">
        <v>294</v>
      </c>
      <c r="H68" s="25" t="s">
        <v>86</v>
      </c>
      <c r="I68" s="26">
        <v>28293.41</v>
      </c>
      <c r="J68" s="26">
        <v>1697.6</v>
      </c>
      <c r="K68" s="26">
        <v>29991.01</v>
      </c>
      <c r="L68" s="32" t="s">
        <v>275</v>
      </c>
      <c r="M68" s="25"/>
      <c r="N68" s="25" t="s">
        <v>276</v>
      </c>
    </row>
    <row r="69" spans="1:14" ht="16.5" customHeight="1" x14ac:dyDescent="0.3">
      <c r="A69" s="28" t="s">
        <v>295</v>
      </c>
      <c r="B69" s="29">
        <v>45810</v>
      </c>
      <c r="C69" s="29">
        <v>45840</v>
      </c>
      <c r="D69" s="30" t="s">
        <v>89</v>
      </c>
      <c r="E69" s="30" t="s">
        <v>90</v>
      </c>
      <c r="F69" s="30" t="s">
        <v>25</v>
      </c>
      <c r="G69" s="30" t="s">
        <v>296</v>
      </c>
      <c r="H69" s="30" t="s">
        <v>92</v>
      </c>
      <c r="I69" s="31">
        <v>20819.73</v>
      </c>
      <c r="J69" s="31">
        <v>1249.18</v>
      </c>
      <c r="K69" s="31">
        <v>22068.91</v>
      </c>
      <c r="L69" s="32" t="s">
        <v>275</v>
      </c>
      <c r="M69" s="30"/>
      <c r="N69" s="30" t="s">
        <v>276</v>
      </c>
    </row>
    <row r="70" spans="1:14" ht="16.5" customHeight="1" x14ac:dyDescent="0.3">
      <c r="A70" s="23" t="s">
        <v>297</v>
      </c>
      <c r="B70" s="24">
        <v>45857</v>
      </c>
      <c r="C70" s="24">
        <v>45887</v>
      </c>
      <c r="D70" s="25" t="s">
        <v>95</v>
      </c>
      <c r="E70" s="25" t="s">
        <v>96</v>
      </c>
      <c r="F70" s="25" t="s">
        <v>28</v>
      </c>
      <c r="G70" s="25" t="s">
        <v>298</v>
      </c>
      <c r="H70" s="25" t="s">
        <v>98</v>
      </c>
      <c r="I70" s="26">
        <v>16006.11</v>
      </c>
      <c r="J70" s="26">
        <v>960.37</v>
      </c>
      <c r="K70" s="26">
        <v>16966.48</v>
      </c>
      <c r="L70" s="32" t="s">
        <v>275</v>
      </c>
      <c r="M70" s="25"/>
      <c r="N70" s="25" t="s">
        <v>276</v>
      </c>
    </row>
    <row r="71" spans="1:14" ht="16.5" customHeight="1" x14ac:dyDescent="0.3">
      <c r="A71" s="28" t="s">
        <v>299</v>
      </c>
      <c r="B71" s="29">
        <v>45878</v>
      </c>
      <c r="C71" s="29">
        <v>45908</v>
      </c>
      <c r="D71" s="30" t="s">
        <v>101</v>
      </c>
      <c r="E71" s="30" t="s">
        <v>102</v>
      </c>
      <c r="F71" s="30" t="s">
        <v>30</v>
      </c>
      <c r="G71" s="30" t="s">
        <v>300</v>
      </c>
      <c r="H71" s="30" t="s">
        <v>104</v>
      </c>
      <c r="I71" s="31">
        <v>32543.18</v>
      </c>
      <c r="J71" s="31">
        <v>1952.59</v>
      </c>
      <c r="K71" s="31">
        <v>34495.769999999997</v>
      </c>
      <c r="L71" s="32" t="s">
        <v>275</v>
      </c>
      <c r="M71" s="30"/>
      <c r="N71" s="30" t="s">
        <v>276</v>
      </c>
    </row>
    <row r="72" spans="1:14" ht="16.5" customHeight="1" x14ac:dyDescent="0.3">
      <c r="A72" s="23" t="s">
        <v>301</v>
      </c>
      <c r="B72" s="24">
        <v>45911</v>
      </c>
      <c r="C72" s="24">
        <v>45941</v>
      </c>
      <c r="D72" s="25" t="s">
        <v>107</v>
      </c>
      <c r="E72" s="25" t="s">
        <v>108</v>
      </c>
      <c r="F72" s="25" t="s">
        <v>32</v>
      </c>
      <c r="G72" s="25" t="s">
        <v>302</v>
      </c>
      <c r="H72" s="25" t="s">
        <v>110</v>
      </c>
      <c r="I72" s="26">
        <v>13630.76</v>
      </c>
      <c r="J72" s="26">
        <v>817.85</v>
      </c>
      <c r="K72" s="26">
        <v>14448.61</v>
      </c>
      <c r="L72" s="32" t="s">
        <v>275</v>
      </c>
      <c r="M72" s="25"/>
      <c r="N72" s="25" t="s">
        <v>276</v>
      </c>
    </row>
    <row r="73" spans="1:14" ht="16.5" customHeight="1" x14ac:dyDescent="0.3">
      <c r="A73" s="28" t="s">
        <v>303</v>
      </c>
      <c r="B73" s="29">
        <v>45935</v>
      </c>
      <c r="C73" s="29">
        <v>45965</v>
      </c>
      <c r="D73" s="30" t="s">
        <v>113</v>
      </c>
      <c r="E73" s="30" t="s">
        <v>114</v>
      </c>
      <c r="F73" s="30" t="s">
        <v>34</v>
      </c>
      <c r="G73" s="30" t="s">
        <v>304</v>
      </c>
      <c r="H73" s="30" t="s">
        <v>116</v>
      </c>
      <c r="I73" s="31">
        <v>22598.11</v>
      </c>
      <c r="J73" s="31">
        <v>1355.89</v>
      </c>
      <c r="K73" s="31">
        <v>23954</v>
      </c>
      <c r="L73" s="32" t="s">
        <v>275</v>
      </c>
      <c r="M73" s="30"/>
      <c r="N73" s="30" t="s">
        <v>276</v>
      </c>
    </row>
    <row r="74" spans="1:14" ht="16.5" customHeight="1" x14ac:dyDescent="0.3">
      <c r="A74" s="23" t="s">
        <v>305</v>
      </c>
      <c r="B74" s="24">
        <v>45986</v>
      </c>
      <c r="C74" s="24">
        <v>46016</v>
      </c>
      <c r="D74" s="25" t="s">
        <v>119</v>
      </c>
      <c r="E74" s="25" t="s">
        <v>120</v>
      </c>
      <c r="F74" s="25" t="s">
        <v>36</v>
      </c>
      <c r="G74" s="25" t="s">
        <v>306</v>
      </c>
      <c r="H74" s="25" t="s">
        <v>122</v>
      </c>
      <c r="I74" s="26">
        <v>1635.96</v>
      </c>
      <c r="J74" s="26">
        <v>98.16</v>
      </c>
      <c r="K74" s="26">
        <v>1734.12</v>
      </c>
      <c r="L74" s="32" t="s">
        <v>275</v>
      </c>
      <c r="M74" s="25"/>
      <c r="N74" s="25" t="s">
        <v>276</v>
      </c>
    </row>
    <row r="75" spans="1:14" ht="16.5" customHeight="1" x14ac:dyDescent="0.3">
      <c r="A75" s="28" t="s">
        <v>307</v>
      </c>
      <c r="B75" s="29">
        <v>46011</v>
      </c>
      <c r="C75" s="29">
        <v>46041</v>
      </c>
      <c r="D75" s="30" t="s">
        <v>125</v>
      </c>
      <c r="E75" s="30" t="s">
        <v>126</v>
      </c>
      <c r="F75" s="30" t="s">
        <v>38</v>
      </c>
      <c r="G75" s="30" t="s">
        <v>308</v>
      </c>
      <c r="H75" s="30" t="s">
        <v>128</v>
      </c>
      <c r="I75" s="31">
        <v>4628.6000000000004</v>
      </c>
      <c r="J75" s="31">
        <v>277.72000000000003</v>
      </c>
      <c r="K75" s="31">
        <v>4906.32</v>
      </c>
      <c r="L75" s="32" t="s">
        <v>275</v>
      </c>
      <c r="M75" s="30"/>
      <c r="N75" s="30" t="s">
        <v>276</v>
      </c>
    </row>
    <row r="76" spans="1:14" ht="16.5" customHeight="1" x14ac:dyDescent="0.3">
      <c r="A76" s="23" t="s">
        <v>309</v>
      </c>
      <c r="B76" s="24">
        <v>45664</v>
      </c>
      <c r="C76" s="24">
        <v>45694</v>
      </c>
      <c r="D76" s="25" t="s">
        <v>131</v>
      </c>
      <c r="E76" s="25" t="s">
        <v>132</v>
      </c>
      <c r="F76" s="25" t="s">
        <v>20</v>
      </c>
      <c r="G76" s="25" t="s">
        <v>310</v>
      </c>
      <c r="H76" s="25" t="s">
        <v>134</v>
      </c>
      <c r="I76" s="26">
        <v>13611.38</v>
      </c>
      <c r="J76" s="26">
        <v>816.68</v>
      </c>
      <c r="K76" s="26">
        <v>14428.06</v>
      </c>
      <c r="L76" s="32" t="s">
        <v>275</v>
      </c>
      <c r="M76" s="25"/>
      <c r="N76" s="25" t="s">
        <v>276</v>
      </c>
    </row>
    <row r="77" spans="1:14" ht="16.5" customHeight="1" x14ac:dyDescent="0.3">
      <c r="A77" s="28" t="s">
        <v>311</v>
      </c>
      <c r="B77" s="29">
        <v>45700</v>
      </c>
      <c r="C77" s="29">
        <v>45730</v>
      </c>
      <c r="D77" s="30" t="s">
        <v>137</v>
      </c>
      <c r="E77" s="30" t="s">
        <v>138</v>
      </c>
      <c r="F77" s="30" t="s">
        <v>25</v>
      </c>
      <c r="G77" s="30" t="s">
        <v>312</v>
      </c>
      <c r="H77" s="30" t="s">
        <v>140</v>
      </c>
      <c r="I77" s="31">
        <v>42349.85</v>
      </c>
      <c r="J77" s="31">
        <v>2540.9899999999998</v>
      </c>
      <c r="K77" s="31">
        <v>44890.84</v>
      </c>
      <c r="L77" s="32" t="s">
        <v>275</v>
      </c>
      <c r="M77" s="30"/>
      <c r="N77" s="30" t="s">
        <v>276</v>
      </c>
    </row>
    <row r="78" spans="1:14" ht="16.5" customHeight="1" x14ac:dyDescent="0.3">
      <c r="A78" s="23" t="s">
        <v>313</v>
      </c>
      <c r="B78" s="24">
        <v>45728</v>
      </c>
      <c r="C78" s="24">
        <v>45758</v>
      </c>
      <c r="D78" s="25" t="s">
        <v>143</v>
      </c>
      <c r="E78" s="25" t="s">
        <v>144</v>
      </c>
      <c r="F78" s="25" t="s">
        <v>28</v>
      </c>
      <c r="G78" s="25" t="s">
        <v>314</v>
      </c>
      <c r="H78" s="25" t="s">
        <v>146</v>
      </c>
      <c r="I78" s="26">
        <v>8582.5499999999993</v>
      </c>
      <c r="J78" s="26">
        <v>514.95000000000005</v>
      </c>
      <c r="K78" s="26">
        <v>9097.5</v>
      </c>
      <c r="L78" s="32" t="s">
        <v>275</v>
      </c>
      <c r="M78" s="25"/>
      <c r="N78" s="25" t="s">
        <v>276</v>
      </c>
    </row>
    <row r="79" spans="1:14" ht="16.5" customHeight="1" x14ac:dyDescent="0.3">
      <c r="A79" s="28" t="s">
        <v>315</v>
      </c>
      <c r="B79" s="29">
        <v>45774</v>
      </c>
      <c r="C79" s="29">
        <v>45804</v>
      </c>
      <c r="D79" s="30" t="s">
        <v>58</v>
      </c>
      <c r="E79" s="30" t="s">
        <v>59</v>
      </c>
      <c r="F79" s="30" t="s">
        <v>30</v>
      </c>
      <c r="G79" s="30" t="s">
        <v>316</v>
      </c>
      <c r="H79" s="30" t="s">
        <v>150</v>
      </c>
      <c r="I79" s="31">
        <v>34125.67</v>
      </c>
      <c r="J79" s="31">
        <v>2047.54</v>
      </c>
      <c r="K79" s="31">
        <v>36173.21</v>
      </c>
      <c r="L79" s="33" t="s">
        <v>317</v>
      </c>
      <c r="M79" s="29">
        <v>45806</v>
      </c>
      <c r="N79" s="30" t="s">
        <v>318</v>
      </c>
    </row>
    <row r="80" spans="1:14" ht="16.5" customHeight="1" x14ac:dyDescent="0.3">
      <c r="A80" s="23" t="s">
        <v>319</v>
      </c>
      <c r="B80" s="24">
        <v>45778</v>
      </c>
      <c r="C80" s="24">
        <v>45808</v>
      </c>
      <c r="D80" s="25" t="s">
        <v>65</v>
      </c>
      <c r="E80" s="25" t="s">
        <v>66</v>
      </c>
      <c r="F80" s="25" t="s">
        <v>32</v>
      </c>
      <c r="G80" s="25" t="s">
        <v>320</v>
      </c>
      <c r="H80" s="25" t="s">
        <v>154</v>
      </c>
      <c r="I80" s="26">
        <v>44806.18</v>
      </c>
      <c r="J80" s="26">
        <v>2688.37</v>
      </c>
      <c r="K80" s="26">
        <v>47494.55</v>
      </c>
      <c r="L80" s="33" t="s">
        <v>317</v>
      </c>
      <c r="M80" s="24">
        <v>45806</v>
      </c>
      <c r="N80" s="25" t="s">
        <v>321</v>
      </c>
    </row>
    <row r="81" spans="1:14" ht="16.5" customHeight="1" x14ac:dyDescent="0.3">
      <c r="A81" s="28" t="s">
        <v>322</v>
      </c>
      <c r="B81" s="29">
        <v>45817</v>
      </c>
      <c r="C81" s="29">
        <v>45847</v>
      </c>
      <c r="D81" s="30" t="s">
        <v>71</v>
      </c>
      <c r="E81" s="30" t="s">
        <v>72</v>
      </c>
      <c r="F81" s="30" t="s">
        <v>34</v>
      </c>
      <c r="G81" s="30" t="s">
        <v>323</v>
      </c>
      <c r="H81" s="30" t="s">
        <v>158</v>
      </c>
      <c r="I81" s="31">
        <v>42838.55</v>
      </c>
      <c r="J81" s="31">
        <v>2570.31</v>
      </c>
      <c r="K81" s="31">
        <v>45408.86</v>
      </c>
      <c r="L81" s="33" t="s">
        <v>317</v>
      </c>
      <c r="M81" s="29">
        <v>45850</v>
      </c>
      <c r="N81" s="30" t="s">
        <v>324</v>
      </c>
    </row>
    <row r="82" spans="1:14" ht="16.5" customHeight="1" x14ac:dyDescent="0.3">
      <c r="A82" s="23" t="s">
        <v>325</v>
      </c>
      <c r="B82" s="24">
        <v>45847</v>
      </c>
      <c r="C82" s="24">
        <v>45877</v>
      </c>
      <c r="D82" s="25" t="s">
        <v>77</v>
      </c>
      <c r="E82" s="25" t="s">
        <v>78</v>
      </c>
      <c r="F82" s="25" t="s">
        <v>36</v>
      </c>
      <c r="G82" s="25" t="s">
        <v>326</v>
      </c>
      <c r="H82" s="25" t="s">
        <v>162</v>
      </c>
      <c r="I82" s="26">
        <v>29506.04</v>
      </c>
      <c r="J82" s="26">
        <v>1770.36</v>
      </c>
      <c r="K82" s="26">
        <v>31276.400000000001</v>
      </c>
      <c r="L82" s="33" t="s">
        <v>317</v>
      </c>
      <c r="M82" s="24">
        <v>45880</v>
      </c>
      <c r="N82" s="25" t="s">
        <v>327</v>
      </c>
    </row>
    <row r="83" spans="1:14" ht="16.5" customHeight="1" x14ac:dyDescent="0.3">
      <c r="A83" s="28" t="s">
        <v>328</v>
      </c>
      <c r="B83" s="29">
        <v>45876</v>
      </c>
      <c r="C83" s="29">
        <v>45906</v>
      </c>
      <c r="D83" s="30" t="s">
        <v>83</v>
      </c>
      <c r="E83" s="30" t="s">
        <v>84</v>
      </c>
      <c r="F83" s="30" t="s">
        <v>38</v>
      </c>
      <c r="G83" s="30" t="s">
        <v>329</v>
      </c>
      <c r="H83" s="30" t="s">
        <v>166</v>
      </c>
      <c r="I83" s="31">
        <v>24853.14</v>
      </c>
      <c r="J83" s="31">
        <v>1491.19</v>
      </c>
      <c r="K83" s="31">
        <v>26344.33</v>
      </c>
      <c r="L83" s="33" t="s">
        <v>317</v>
      </c>
      <c r="M83" s="29">
        <v>45906</v>
      </c>
      <c r="N83" s="30" t="s">
        <v>330</v>
      </c>
    </row>
    <row r="84" spans="1:14" ht="16.5" customHeight="1" x14ac:dyDescent="0.3">
      <c r="A84" s="23" t="s">
        <v>331</v>
      </c>
      <c r="B84" s="24">
        <v>45903</v>
      </c>
      <c r="C84" s="24">
        <v>45933</v>
      </c>
      <c r="D84" s="25" t="s">
        <v>89</v>
      </c>
      <c r="E84" s="25" t="s">
        <v>90</v>
      </c>
      <c r="F84" s="25" t="s">
        <v>20</v>
      </c>
      <c r="G84" s="25" t="s">
        <v>332</v>
      </c>
      <c r="H84" s="25" t="s">
        <v>61</v>
      </c>
      <c r="I84" s="26">
        <v>40013.49</v>
      </c>
      <c r="J84" s="26">
        <v>2400.81</v>
      </c>
      <c r="K84" s="26">
        <v>42414.3</v>
      </c>
      <c r="L84" s="33" t="s">
        <v>317</v>
      </c>
      <c r="M84" s="24">
        <v>45931</v>
      </c>
      <c r="N84" s="25" t="s">
        <v>333</v>
      </c>
    </row>
    <row r="85" spans="1:14" ht="16.5" customHeight="1" x14ac:dyDescent="0.3">
      <c r="A85" s="28" t="s">
        <v>334</v>
      </c>
      <c r="B85" s="29">
        <v>45941</v>
      </c>
      <c r="C85" s="29">
        <v>45971</v>
      </c>
      <c r="D85" s="30" t="s">
        <v>95</v>
      </c>
      <c r="E85" s="30" t="s">
        <v>96</v>
      </c>
      <c r="F85" s="30" t="s">
        <v>25</v>
      </c>
      <c r="G85" s="30" t="s">
        <v>335</v>
      </c>
      <c r="H85" s="30" t="s">
        <v>68</v>
      </c>
      <c r="I85" s="31">
        <v>31016.91</v>
      </c>
      <c r="J85" s="31">
        <v>1861.01</v>
      </c>
      <c r="K85" s="31">
        <v>32877.919999999998</v>
      </c>
      <c r="L85" s="33" t="s">
        <v>317</v>
      </c>
      <c r="M85" s="29">
        <v>45971</v>
      </c>
      <c r="N85" s="30" t="s">
        <v>336</v>
      </c>
    </row>
    <row r="86" spans="1:14" ht="16.5" customHeight="1" x14ac:dyDescent="0.3">
      <c r="A86" s="23" t="s">
        <v>337</v>
      </c>
      <c r="B86" s="24">
        <v>45985</v>
      </c>
      <c r="C86" s="24">
        <v>46015</v>
      </c>
      <c r="D86" s="25" t="s">
        <v>101</v>
      </c>
      <c r="E86" s="25" t="s">
        <v>102</v>
      </c>
      <c r="F86" s="25" t="s">
        <v>28</v>
      </c>
      <c r="G86" s="25" t="s">
        <v>338</v>
      </c>
      <c r="H86" s="25" t="s">
        <v>74</v>
      </c>
      <c r="I86" s="26">
        <v>27018.639999999999</v>
      </c>
      <c r="J86" s="26">
        <v>1621.12</v>
      </c>
      <c r="K86" s="26">
        <v>28639.759999999998</v>
      </c>
      <c r="L86" s="33" t="s">
        <v>317</v>
      </c>
      <c r="M86" s="24">
        <v>46016</v>
      </c>
      <c r="N86" s="25" t="s">
        <v>339</v>
      </c>
    </row>
    <row r="87" spans="1:14" ht="16.5" customHeight="1" x14ac:dyDescent="0.3">
      <c r="A87" s="28" t="s">
        <v>340</v>
      </c>
      <c r="B87" s="29">
        <v>45995</v>
      </c>
      <c r="C87" s="29">
        <v>46025</v>
      </c>
      <c r="D87" s="30" t="s">
        <v>107</v>
      </c>
      <c r="E87" s="30" t="s">
        <v>108</v>
      </c>
      <c r="F87" s="30" t="s">
        <v>30</v>
      </c>
      <c r="G87" s="30" t="s">
        <v>341</v>
      </c>
      <c r="H87" s="30" t="s">
        <v>80</v>
      </c>
      <c r="I87" s="31">
        <v>45428.38</v>
      </c>
      <c r="J87" s="31">
        <v>2725.7</v>
      </c>
      <c r="K87" s="31">
        <v>48154.080000000002</v>
      </c>
      <c r="L87" s="33" t="s">
        <v>317</v>
      </c>
      <c r="M87" s="29">
        <v>46028</v>
      </c>
      <c r="N87" s="30" t="s">
        <v>342</v>
      </c>
    </row>
    <row r="88" spans="1:14" ht="16.5" customHeight="1" x14ac:dyDescent="0.3">
      <c r="A88" s="23" t="s">
        <v>343</v>
      </c>
      <c r="B88" s="24">
        <v>45675</v>
      </c>
      <c r="C88" s="24">
        <v>45705</v>
      </c>
      <c r="D88" s="25" t="s">
        <v>113</v>
      </c>
      <c r="E88" s="25" t="s">
        <v>114</v>
      </c>
      <c r="F88" s="25" t="s">
        <v>32</v>
      </c>
      <c r="G88" s="25" t="s">
        <v>344</v>
      </c>
      <c r="H88" s="25" t="s">
        <v>86</v>
      </c>
      <c r="I88" s="26">
        <v>40259.050000000003</v>
      </c>
      <c r="J88" s="26">
        <v>2415.54</v>
      </c>
      <c r="K88" s="26">
        <v>42674.59</v>
      </c>
      <c r="L88" s="33" t="s">
        <v>317</v>
      </c>
      <c r="M88" s="24">
        <v>45707</v>
      </c>
      <c r="N88" s="25" t="s">
        <v>345</v>
      </c>
    </row>
    <row r="89" spans="1:14" ht="16.5" customHeight="1" x14ac:dyDescent="0.3">
      <c r="A89" s="28" t="s">
        <v>346</v>
      </c>
      <c r="B89" s="29">
        <v>45702</v>
      </c>
      <c r="C89" s="29">
        <v>45732</v>
      </c>
      <c r="D89" s="30" t="s">
        <v>119</v>
      </c>
      <c r="E89" s="30" t="s">
        <v>120</v>
      </c>
      <c r="F89" s="30" t="s">
        <v>34</v>
      </c>
      <c r="G89" s="30" t="s">
        <v>347</v>
      </c>
      <c r="H89" s="30" t="s">
        <v>92</v>
      </c>
      <c r="I89" s="31">
        <v>3157.59</v>
      </c>
      <c r="J89" s="31">
        <v>189.46</v>
      </c>
      <c r="K89" s="31">
        <v>3347.05</v>
      </c>
      <c r="L89" s="33" t="s">
        <v>317</v>
      </c>
      <c r="M89" s="29">
        <v>45732</v>
      </c>
      <c r="N89" s="30" t="s">
        <v>348</v>
      </c>
    </row>
    <row r="90" spans="1:14" ht="16.5" customHeight="1" x14ac:dyDescent="0.3">
      <c r="A90" s="23" t="s">
        <v>349</v>
      </c>
      <c r="B90" s="24">
        <v>45728</v>
      </c>
      <c r="C90" s="24">
        <v>45758</v>
      </c>
      <c r="D90" s="25" t="s">
        <v>125</v>
      </c>
      <c r="E90" s="25" t="s">
        <v>126</v>
      </c>
      <c r="F90" s="25" t="s">
        <v>36</v>
      </c>
      <c r="G90" s="25" t="s">
        <v>350</v>
      </c>
      <c r="H90" s="25" t="s">
        <v>98</v>
      </c>
      <c r="I90" s="26">
        <v>33120.720000000001</v>
      </c>
      <c r="J90" s="26">
        <v>1987.24</v>
      </c>
      <c r="K90" s="26">
        <v>35107.96</v>
      </c>
      <c r="L90" s="33" t="s">
        <v>317</v>
      </c>
      <c r="M90" s="24">
        <v>45761</v>
      </c>
      <c r="N90" s="25" t="s">
        <v>351</v>
      </c>
    </row>
    <row r="91" spans="1:14" ht="16.5" customHeight="1" x14ac:dyDescent="0.3">
      <c r="A91" s="28" t="s">
        <v>352</v>
      </c>
      <c r="B91" s="29">
        <v>45759</v>
      </c>
      <c r="C91" s="29">
        <v>45789</v>
      </c>
      <c r="D91" s="30" t="s">
        <v>131</v>
      </c>
      <c r="E91" s="30" t="s">
        <v>132</v>
      </c>
      <c r="F91" s="30" t="s">
        <v>38</v>
      </c>
      <c r="G91" s="30" t="s">
        <v>353</v>
      </c>
      <c r="H91" s="30" t="s">
        <v>104</v>
      </c>
      <c r="I91" s="31">
        <v>46775.57</v>
      </c>
      <c r="J91" s="31">
        <v>2806.53</v>
      </c>
      <c r="K91" s="31">
        <v>49582.1</v>
      </c>
      <c r="L91" s="33" t="s">
        <v>317</v>
      </c>
      <c r="M91" s="29">
        <v>45792</v>
      </c>
      <c r="N91" s="30" t="s">
        <v>354</v>
      </c>
    </row>
    <row r="92" spans="1:14" ht="16.5" customHeight="1" x14ac:dyDescent="0.3">
      <c r="A92" s="23" t="s">
        <v>355</v>
      </c>
      <c r="B92" s="24">
        <v>45785</v>
      </c>
      <c r="C92" s="24">
        <v>45815</v>
      </c>
      <c r="D92" s="25" t="s">
        <v>137</v>
      </c>
      <c r="E92" s="25" t="s">
        <v>138</v>
      </c>
      <c r="F92" s="25" t="s">
        <v>20</v>
      </c>
      <c r="G92" s="25" t="s">
        <v>356</v>
      </c>
      <c r="H92" s="25" t="s">
        <v>110</v>
      </c>
      <c r="I92" s="26">
        <v>46886.44</v>
      </c>
      <c r="J92" s="26">
        <v>2813.19</v>
      </c>
      <c r="K92" s="26">
        <v>49699.63</v>
      </c>
      <c r="L92" s="33" t="s">
        <v>317</v>
      </c>
      <c r="M92" s="24">
        <v>45814</v>
      </c>
      <c r="N92" s="25" t="s">
        <v>357</v>
      </c>
    </row>
    <row r="93" spans="1:14" ht="16.5" customHeight="1" x14ac:dyDescent="0.3">
      <c r="A93" s="28" t="s">
        <v>358</v>
      </c>
      <c r="B93" s="29">
        <v>45809</v>
      </c>
      <c r="C93" s="29">
        <v>45839</v>
      </c>
      <c r="D93" s="30" t="s">
        <v>143</v>
      </c>
      <c r="E93" s="30" t="s">
        <v>144</v>
      </c>
      <c r="F93" s="30" t="s">
        <v>25</v>
      </c>
      <c r="G93" s="30" t="s">
        <v>359</v>
      </c>
      <c r="H93" s="30" t="s">
        <v>116</v>
      </c>
      <c r="I93" s="31">
        <v>35671.22</v>
      </c>
      <c r="J93" s="31">
        <v>2140.27</v>
      </c>
      <c r="K93" s="31">
        <v>37811.49</v>
      </c>
      <c r="L93" s="33" t="s">
        <v>317</v>
      </c>
      <c r="M93" s="29">
        <v>45839</v>
      </c>
      <c r="N93" s="30" t="s">
        <v>360</v>
      </c>
    </row>
    <row r="94" spans="1:14" ht="16.5" customHeight="1" x14ac:dyDescent="0.3">
      <c r="A94" s="23" t="s">
        <v>361</v>
      </c>
      <c r="B94" s="24">
        <v>45864</v>
      </c>
      <c r="C94" s="24">
        <v>45894</v>
      </c>
      <c r="D94" s="25" t="s">
        <v>58</v>
      </c>
      <c r="E94" s="25" t="s">
        <v>59</v>
      </c>
      <c r="F94" s="25" t="s">
        <v>28</v>
      </c>
      <c r="G94" s="25" t="s">
        <v>362</v>
      </c>
      <c r="H94" s="25" t="s">
        <v>122</v>
      </c>
      <c r="I94" s="26">
        <v>13686.51</v>
      </c>
      <c r="J94" s="26">
        <v>821.19</v>
      </c>
      <c r="K94" s="26">
        <v>14507.7</v>
      </c>
      <c r="L94" s="34" t="s">
        <v>363</v>
      </c>
      <c r="M94" s="25"/>
      <c r="N94" s="25" t="s">
        <v>276</v>
      </c>
    </row>
    <row r="95" spans="1:14" ht="16.5" customHeight="1" x14ac:dyDescent="0.3">
      <c r="A95" s="28" t="s">
        <v>364</v>
      </c>
      <c r="B95" s="29">
        <v>45895</v>
      </c>
      <c r="C95" s="29">
        <v>45925</v>
      </c>
      <c r="D95" s="30" t="s">
        <v>65</v>
      </c>
      <c r="E95" s="30" t="s">
        <v>66</v>
      </c>
      <c r="F95" s="30" t="s">
        <v>30</v>
      </c>
      <c r="G95" s="30" t="s">
        <v>365</v>
      </c>
      <c r="H95" s="30" t="s">
        <v>128</v>
      </c>
      <c r="I95" s="31">
        <v>19102.95</v>
      </c>
      <c r="J95" s="31">
        <v>1146.18</v>
      </c>
      <c r="K95" s="31">
        <v>20249.13</v>
      </c>
      <c r="L95" s="34" t="s">
        <v>363</v>
      </c>
      <c r="M95" s="30"/>
      <c r="N95" s="30" t="s">
        <v>276</v>
      </c>
    </row>
    <row r="96" spans="1:14" ht="16.5" customHeight="1" x14ac:dyDescent="0.3">
      <c r="A96" s="23" t="s">
        <v>366</v>
      </c>
      <c r="B96" s="24">
        <v>45902</v>
      </c>
      <c r="C96" s="24">
        <v>45932</v>
      </c>
      <c r="D96" s="25" t="s">
        <v>71</v>
      </c>
      <c r="E96" s="25" t="s">
        <v>72</v>
      </c>
      <c r="F96" s="25" t="s">
        <v>32</v>
      </c>
      <c r="G96" s="25" t="s">
        <v>367</v>
      </c>
      <c r="H96" s="25" t="s">
        <v>134</v>
      </c>
      <c r="I96" s="26">
        <v>11609.9</v>
      </c>
      <c r="J96" s="26">
        <v>696.59</v>
      </c>
      <c r="K96" s="26">
        <v>12306.49</v>
      </c>
      <c r="L96" s="34" t="s">
        <v>363</v>
      </c>
      <c r="M96" s="25"/>
      <c r="N96" s="25" t="s">
        <v>276</v>
      </c>
    </row>
    <row r="97" spans="1:14" ht="16.5" customHeight="1" x14ac:dyDescent="0.3">
      <c r="A97" s="28" t="s">
        <v>368</v>
      </c>
      <c r="B97" s="29">
        <v>45957</v>
      </c>
      <c r="C97" s="29">
        <v>45987</v>
      </c>
      <c r="D97" s="30" t="s">
        <v>77</v>
      </c>
      <c r="E97" s="30" t="s">
        <v>78</v>
      </c>
      <c r="F97" s="30" t="s">
        <v>34</v>
      </c>
      <c r="G97" s="30" t="s">
        <v>369</v>
      </c>
      <c r="H97" s="30" t="s">
        <v>140</v>
      </c>
      <c r="I97" s="31">
        <v>17564.009999999998</v>
      </c>
      <c r="J97" s="31">
        <v>1053.8399999999999</v>
      </c>
      <c r="K97" s="31">
        <v>18617.849999999999</v>
      </c>
      <c r="L97" s="34" t="s">
        <v>363</v>
      </c>
      <c r="M97" s="30"/>
      <c r="N97" s="30" t="s">
        <v>276</v>
      </c>
    </row>
    <row r="98" spans="1:14" ht="16.5" customHeight="1" x14ac:dyDescent="0.3">
      <c r="A98" s="23" t="s">
        <v>370</v>
      </c>
      <c r="B98" s="24">
        <v>45988</v>
      </c>
      <c r="C98" s="24">
        <v>46018</v>
      </c>
      <c r="D98" s="25" t="s">
        <v>83</v>
      </c>
      <c r="E98" s="25" t="s">
        <v>84</v>
      </c>
      <c r="F98" s="25" t="s">
        <v>36</v>
      </c>
      <c r="G98" s="25" t="s">
        <v>371</v>
      </c>
      <c r="H98" s="25" t="s">
        <v>146</v>
      </c>
      <c r="I98" s="26">
        <v>11632.82</v>
      </c>
      <c r="J98" s="26">
        <v>697.97</v>
      </c>
      <c r="K98" s="26">
        <v>12330.79</v>
      </c>
      <c r="L98" s="34" t="s">
        <v>363</v>
      </c>
      <c r="M98" s="25"/>
      <c r="N98" s="25" t="s">
        <v>276</v>
      </c>
    </row>
    <row r="99" spans="1:14" ht="16.5" customHeight="1" x14ac:dyDescent="0.3">
      <c r="A99" s="28" t="s">
        <v>372</v>
      </c>
      <c r="B99" s="29">
        <v>46013</v>
      </c>
      <c r="C99" s="29">
        <v>46043</v>
      </c>
      <c r="D99" s="30" t="s">
        <v>89</v>
      </c>
      <c r="E99" s="30" t="s">
        <v>90</v>
      </c>
      <c r="F99" s="30" t="s">
        <v>38</v>
      </c>
      <c r="G99" s="30" t="s">
        <v>373</v>
      </c>
      <c r="H99" s="30" t="s">
        <v>150</v>
      </c>
      <c r="I99" s="31">
        <v>19848.21</v>
      </c>
      <c r="J99" s="31">
        <v>1190.8900000000001</v>
      </c>
      <c r="K99" s="31">
        <v>21039.1</v>
      </c>
      <c r="L99" s="34" t="s">
        <v>363</v>
      </c>
      <c r="M99" s="30"/>
      <c r="N99" s="30" t="s">
        <v>276</v>
      </c>
    </row>
    <row r="100" spans="1:14" ht="16.5" customHeight="1" x14ac:dyDescent="0.3">
      <c r="A100" s="23" t="s">
        <v>374</v>
      </c>
      <c r="B100" s="24">
        <v>45666</v>
      </c>
      <c r="C100" s="24">
        <v>45696</v>
      </c>
      <c r="D100" s="25" t="s">
        <v>95</v>
      </c>
      <c r="E100" s="25" t="s">
        <v>96</v>
      </c>
      <c r="F100" s="25" t="s">
        <v>20</v>
      </c>
      <c r="G100" s="25" t="s">
        <v>375</v>
      </c>
      <c r="H100" s="25" t="s">
        <v>154</v>
      </c>
      <c r="I100" s="26">
        <v>46450.41</v>
      </c>
      <c r="J100" s="26">
        <v>2787.02</v>
      </c>
      <c r="K100" s="26">
        <v>49237.43</v>
      </c>
      <c r="L100" s="34" t="s">
        <v>363</v>
      </c>
      <c r="M100" s="25"/>
      <c r="N100" s="25" t="s">
        <v>276</v>
      </c>
    </row>
    <row r="101" spans="1:14" ht="16.5" customHeight="1" x14ac:dyDescent="0.3">
      <c r="A101" s="28" t="s">
        <v>376</v>
      </c>
      <c r="B101" s="29">
        <v>45697</v>
      </c>
      <c r="C101" s="29">
        <v>45727</v>
      </c>
      <c r="D101" s="30" t="s">
        <v>101</v>
      </c>
      <c r="E101" s="30" t="s">
        <v>102</v>
      </c>
      <c r="F101" s="30" t="s">
        <v>25</v>
      </c>
      <c r="G101" s="30" t="s">
        <v>377</v>
      </c>
      <c r="H101" s="30" t="s">
        <v>158</v>
      </c>
      <c r="I101" s="31">
        <v>31221.35</v>
      </c>
      <c r="J101" s="31">
        <v>1873.28</v>
      </c>
      <c r="K101" s="31">
        <v>33094.629999999997</v>
      </c>
      <c r="L101" s="34" t="s">
        <v>363</v>
      </c>
      <c r="M101" s="30"/>
      <c r="N101" s="30" t="s">
        <v>276</v>
      </c>
    </row>
    <row r="102" spans="1:14" ht="16.5" customHeight="1" x14ac:dyDescent="0.3">
      <c r="A102" s="23" t="s">
        <v>378</v>
      </c>
      <c r="B102" s="24">
        <v>45729</v>
      </c>
      <c r="C102" s="24">
        <v>45759</v>
      </c>
      <c r="D102" s="25" t="s">
        <v>107</v>
      </c>
      <c r="E102" s="25" t="s">
        <v>108</v>
      </c>
      <c r="F102" s="25" t="s">
        <v>28</v>
      </c>
      <c r="G102" s="25" t="s">
        <v>379</v>
      </c>
      <c r="H102" s="25" t="s">
        <v>162</v>
      </c>
      <c r="I102" s="26">
        <v>16697.810000000001</v>
      </c>
      <c r="J102" s="26">
        <v>1001.87</v>
      </c>
      <c r="K102" s="26">
        <v>17699.68</v>
      </c>
      <c r="L102" s="34" t="s">
        <v>363</v>
      </c>
      <c r="M102" s="25"/>
      <c r="N102" s="25" t="s">
        <v>276</v>
      </c>
    </row>
    <row r="103" spans="1:14" ht="16.5" customHeight="1" x14ac:dyDescent="0.3">
      <c r="A103" s="28" t="s">
        <v>380</v>
      </c>
      <c r="B103" s="29">
        <v>45748</v>
      </c>
      <c r="C103" s="29">
        <v>45778</v>
      </c>
      <c r="D103" s="30" t="s">
        <v>113</v>
      </c>
      <c r="E103" s="30" t="s">
        <v>114</v>
      </c>
      <c r="F103" s="30" t="s">
        <v>30</v>
      </c>
      <c r="G103" s="30" t="s">
        <v>381</v>
      </c>
      <c r="H103" s="30" t="s">
        <v>166</v>
      </c>
      <c r="I103" s="31">
        <v>42245.4</v>
      </c>
      <c r="J103" s="31">
        <v>2534.7199999999998</v>
      </c>
      <c r="K103" s="31">
        <v>44780.12</v>
      </c>
      <c r="L103" s="34" t="s">
        <v>363</v>
      </c>
      <c r="M103" s="30"/>
      <c r="N103" s="30" t="s">
        <v>276</v>
      </c>
    </row>
    <row r="104" spans="1:14" ht="16.5" customHeight="1" x14ac:dyDescent="0.3">
      <c r="A104" s="23" t="s">
        <v>382</v>
      </c>
      <c r="B104" s="24">
        <v>45786</v>
      </c>
      <c r="C104" s="24">
        <v>45816</v>
      </c>
      <c r="D104" s="25" t="s">
        <v>119</v>
      </c>
      <c r="E104" s="25" t="s">
        <v>120</v>
      </c>
      <c r="F104" s="25" t="s">
        <v>32</v>
      </c>
      <c r="G104" s="25" t="s">
        <v>383</v>
      </c>
      <c r="H104" s="25" t="s">
        <v>61</v>
      </c>
      <c r="I104" s="26">
        <v>28371.599999999999</v>
      </c>
      <c r="J104" s="26">
        <v>1702.3</v>
      </c>
      <c r="K104" s="26">
        <v>30073.9</v>
      </c>
      <c r="L104" s="34" t="s">
        <v>363</v>
      </c>
      <c r="M104" s="25"/>
      <c r="N104" s="25" t="s">
        <v>276</v>
      </c>
    </row>
    <row r="105" spans="1:14" ht="16.5" customHeight="1" x14ac:dyDescent="0.3">
      <c r="A105" s="28" t="s">
        <v>384</v>
      </c>
      <c r="B105" s="29">
        <v>45817</v>
      </c>
      <c r="C105" s="29">
        <v>45847</v>
      </c>
      <c r="D105" s="30" t="s">
        <v>125</v>
      </c>
      <c r="E105" s="30" t="s">
        <v>126</v>
      </c>
      <c r="F105" s="30" t="s">
        <v>34</v>
      </c>
      <c r="G105" s="30" t="s">
        <v>385</v>
      </c>
      <c r="H105" s="30" t="s">
        <v>68</v>
      </c>
      <c r="I105" s="31">
        <v>6273.24</v>
      </c>
      <c r="J105" s="31">
        <v>376.39</v>
      </c>
      <c r="K105" s="31">
        <v>6649.63</v>
      </c>
      <c r="L105" s="34" t="s">
        <v>363</v>
      </c>
      <c r="M105" s="30"/>
      <c r="N105" s="30" t="s">
        <v>276</v>
      </c>
    </row>
    <row r="106" spans="1:14" ht="16.5" customHeight="1" x14ac:dyDescent="0.3">
      <c r="A106" s="23" t="s">
        <v>386</v>
      </c>
      <c r="B106" s="24">
        <v>45852</v>
      </c>
      <c r="C106" s="24">
        <v>45882</v>
      </c>
      <c r="D106" s="25" t="s">
        <v>131</v>
      </c>
      <c r="E106" s="25" t="s">
        <v>132</v>
      </c>
      <c r="F106" s="25" t="s">
        <v>36</v>
      </c>
      <c r="G106" s="25" t="s">
        <v>387</v>
      </c>
      <c r="H106" s="25" t="s">
        <v>74</v>
      </c>
      <c r="I106" s="26">
        <v>35295.910000000003</v>
      </c>
      <c r="J106" s="26">
        <v>2117.75</v>
      </c>
      <c r="K106" s="26">
        <v>37413.660000000003</v>
      </c>
      <c r="L106" s="35" t="s">
        <v>388</v>
      </c>
      <c r="M106" s="25"/>
      <c r="N106" s="25" t="s">
        <v>276</v>
      </c>
    </row>
    <row r="107" spans="1:14" ht="16.5" customHeight="1" x14ac:dyDescent="0.3">
      <c r="A107" s="28" t="s">
        <v>389</v>
      </c>
      <c r="B107" s="29">
        <v>45880</v>
      </c>
      <c r="C107" s="29">
        <v>45910</v>
      </c>
      <c r="D107" s="30" t="s">
        <v>137</v>
      </c>
      <c r="E107" s="30" t="s">
        <v>138</v>
      </c>
      <c r="F107" s="30" t="s">
        <v>38</v>
      </c>
      <c r="G107" s="30" t="s">
        <v>390</v>
      </c>
      <c r="H107" s="30" t="s">
        <v>80</v>
      </c>
      <c r="I107" s="31">
        <v>29570.57</v>
      </c>
      <c r="J107" s="31">
        <v>1774.23</v>
      </c>
      <c r="K107" s="31">
        <v>31344.799999999999</v>
      </c>
      <c r="L107" s="35" t="s">
        <v>388</v>
      </c>
      <c r="M107" s="30"/>
      <c r="N107" s="30" t="s">
        <v>276</v>
      </c>
    </row>
    <row r="108" spans="1:14" ht="16.5" customHeight="1" x14ac:dyDescent="0.3">
      <c r="A108" s="23" t="s">
        <v>391</v>
      </c>
      <c r="B108" s="24">
        <v>45917</v>
      </c>
      <c r="C108" s="24">
        <v>45947</v>
      </c>
      <c r="D108" s="25" t="s">
        <v>143</v>
      </c>
      <c r="E108" s="25" t="s">
        <v>144</v>
      </c>
      <c r="F108" s="25" t="s">
        <v>20</v>
      </c>
      <c r="G108" s="25" t="s">
        <v>392</v>
      </c>
      <c r="H108" s="25" t="s">
        <v>86</v>
      </c>
      <c r="I108" s="26">
        <v>19227.150000000001</v>
      </c>
      <c r="J108" s="26">
        <v>1153.6300000000001</v>
      </c>
      <c r="K108" s="26">
        <v>20380.78</v>
      </c>
      <c r="L108" s="35" t="s">
        <v>388</v>
      </c>
      <c r="M108" s="25"/>
      <c r="N108" s="25" t="s">
        <v>276</v>
      </c>
    </row>
    <row r="109" spans="1:14" ht="16.5" customHeight="1" x14ac:dyDescent="0.3">
      <c r="A109" s="28" t="s">
        <v>393</v>
      </c>
      <c r="B109" s="29">
        <v>45949</v>
      </c>
      <c r="C109" s="29">
        <v>45979</v>
      </c>
      <c r="D109" s="30" t="s">
        <v>58</v>
      </c>
      <c r="E109" s="30" t="s">
        <v>59</v>
      </c>
      <c r="F109" s="30" t="s">
        <v>25</v>
      </c>
      <c r="G109" s="30" t="s">
        <v>394</v>
      </c>
      <c r="H109" s="30" t="s">
        <v>92</v>
      </c>
      <c r="I109" s="31">
        <v>13121.01</v>
      </c>
      <c r="J109" s="31">
        <v>787.26</v>
      </c>
      <c r="K109" s="31">
        <v>13908.27</v>
      </c>
      <c r="L109" s="35" t="s">
        <v>388</v>
      </c>
      <c r="M109" s="30"/>
      <c r="N109" s="30" t="s">
        <v>276</v>
      </c>
    </row>
    <row r="110" spans="1:14" ht="16.5" customHeight="1" x14ac:dyDescent="0.3">
      <c r="A110" s="23" t="s">
        <v>395</v>
      </c>
      <c r="B110" s="24">
        <v>45984</v>
      </c>
      <c r="C110" s="24">
        <v>46014</v>
      </c>
      <c r="D110" s="25" t="s">
        <v>65</v>
      </c>
      <c r="E110" s="25" t="s">
        <v>66</v>
      </c>
      <c r="F110" s="25" t="s">
        <v>28</v>
      </c>
      <c r="G110" s="25" t="s">
        <v>396</v>
      </c>
      <c r="H110" s="25" t="s">
        <v>98</v>
      </c>
      <c r="I110" s="26">
        <v>1279.1500000000001</v>
      </c>
      <c r="J110" s="26">
        <v>76.75</v>
      </c>
      <c r="K110" s="26">
        <v>1355.9</v>
      </c>
      <c r="L110" s="35" t="s">
        <v>388</v>
      </c>
      <c r="M110" s="25"/>
      <c r="N110" s="25" t="s">
        <v>276</v>
      </c>
    </row>
    <row r="111" spans="1:14" ht="16.5" customHeight="1" x14ac:dyDescent="0.3">
      <c r="A111" s="28" t="s">
        <v>397</v>
      </c>
      <c r="B111" s="29">
        <v>46017</v>
      </c>
      <c r="C111" s="29">
        <v>46047</v>
      </c>
      <c r="D111" s="30" t="s">
        <v>71</v>
      </c>
      <c r="E111" s="30" t="s">
        <v>72</v>
      </c>
      <c r="F111" s="30" t="s">
        <v>30</v>
      </c>
      <c r="G111" s="30" t="s">
        <v>398</v>
      </c>
      <c r="H111" s="30" t="s">
        <v>104</v>
      </c>
      <c r="I111" s="31">
        <v>33344.910000000003</v>
      </c>
      <c r="J111" s="31">
        <v>2000.69</v>
      </c>
      <c r="K111" s="31">
        <v>35345.599999999999</v>
      </c>
      <c r="L111" s="35" t="s">
        <v>388</v>
      </c>
      <c r="M111" s="30"/>
      <c r="N111" s="30" t="s">
        <v>276</v>
      </c>
    </row>
    <row r="112" spans="1:14" ht="16.5" customHeight="1" x14ac:dyDescent="0.3">
      <c r="A112" s="23" t="s">
        <v>399</v>
      </c>
      <c r="B112" s="24">
        <v>45681</v>
      </c>
      <c r="C112" s="24">
        <v>45711</v>
      </c>
      <c r="D112" s="25" t="s">
        <v>77</v>
      </c>
      <c r="E112" s="25" t="s">
        <v>78</v>
      </c>
      <c r="F112" s="25" t="s">
        <v>32</v>
      </c>
      <c r="G112" s="25" t="s">
        <v>400</v>
      </c>
      <c r="H112" s="25" t="s">
        <v>110</v>
      </c>
      <c r="I112" s="26">
        <v>18245.560000000001</v>
      </c>
      <c r="J112" s="26">
        <v>1094.73</v>
      </c>
      <c r="K112" s="26">
        <v>19340.29</v>
      </c>
      <c r="L112" s="35" t="s">
        <v>388</v>
      </c>
      <c r="M112" s="25"/>
      <c r="N112" s="25" t="s">
        <v>276</v>
      </c>
    </row>
    <row r="113" spans="1:14" ht="16.5" customHeight="1" x14ac:dyDescent="0.3">
      <c r="A113" s="28" t="s">
        <v>401</v>
      </c>
      <c r="B113" s="29">
        <v>45691</v>
      </c>
      <c r="C113" s="29">
        <v>45721</v>
      </c>
      <c r="D113" s="30" t="s">
        <v>83</v>
      </c>
      <c r="E113" s="30" t="s">
        <v>84</v>
      </c>
      <c r="F113" s="30" t="s">
        <v>34</v>
      </c>
      <c r="G113" s="30" t="s">
        <v>402</v>
      </c>
      <c r="H113" s="30" t="s">
        <v>116</v>
      </c>
      <c r="I113" s="31">
        <v>30363.67</v>
      </c>
      <c r="J113" s="31">
        <v>1821.82</v>
      </c>
      <c r="K113" s="31">
        <v>32185.49</v>
      </c>
      <c r="L113" s="35" t="s">
        <v>388</v>
      </c>
      <c r="M113" s="30"/>
      <c r="N113" s="30" t="s">
        <v>276</v>
      </c>
    </row>
    <row r="114" spans="1:14" ht="16.5" customHeight="1" x14ac:dyDescent="0.3">
      <c r="A114" s="23" t="s">
        <v>403</v>
      </c>
      <c r="B114" s="24">
        <v>45738</v>
      </c>
      <c r="C114" s="24">
        <v>45768</v>
      </c>
      <c r="D114" s="25" t="s">
        <v>89</v>
      </c>
      <c r="E114" s="25" t="s">
        <v>90</v>
      </c>
      <c r="F114" s="25" t="s">
        <v>36</v>
      </c>
      <c r="G114" s="25" t="s">
        <v>404</v>
      </c>
      <c r="H114" s="25" t="s">
        <v>122</v>
      </c>
      <c r="I114" s="26">
        <v>34884.5</v>
      </c>
      <c r="J114" s="26">
        <v>2093.0700000000002</v>
      </c>
      <c r="K114" s="26">
        <v>36977.57</v>
      </c>
      <c r="L114" s="35" t="s">
        <v>388</v>
      </c>
      <c r="M114" s="25"/>
      <c r="N114" s="25" t="s">
        <v>276</v>
      </c>
    </row>
    <row r="115" spans="1:14" ht="16.5" customHeight="1" x14ac:dyDescent="0.3">
      <c r="A115" s="28" t="s">
        <v>405</v>
      </c>
      <c r="B115" s="29">
        <v>45757</v>
      </c>
      <c r="C115" s="29">
        <v>45787</v>
      </c>
      <c r="D115" s="30" t="s">
        <v>95</v>
      </c>
      <c r="E115" s="30" t="s">
        <v>96</v>
      </c>
      <c r="F115" s="30" t="s">
        <v>38</v>
      </c>
      <c r="G115" s="30" t="s">
        <v>406</v>
      </c>
      <c r="H115" s="30" t="s">
        <v>128</v>
      </c>
      <c r="I115" s="31">
        <v>15674.52</v>
      </c>
      <c r="J115" s="31">
        <v>940.47</v>
      </c>
      <c r="K115" s="31">
        <v>16614.990000000002</v>
      </c>
      <c r="L115" s="35" t="s">
        <v>388</v>
      </c>
      <c r="M115" s="30"/>
      <c r="N115" s="30" t="s">
        <v>276</v>
      </c>
    </row>
    <row r="116" spans="1:14" ht="16.5" customHeight="1" x14ac:dyDescent="0.3">
      <c r="A116" s="23" t="s">
        <v>407</v>
      </c>
      <c r="B116" s="24">
        <v>45791</v>
      </c>
      <c r="C116" s="24">
        <v>45821</v>
      </c>
      <c r="D116" s="25" t="s">
        <v>101</v>
      </c>
      <c r="E116" s="25" t="s">
        <v>102</v>
      </c>
      <c r="F116" s="25" t="s">
        <v>20</v>
      </c>
      <c r="G116" s="25" t="s">
        <v>408</v>
      </c>
      <c r="H116" s="25" t="s">
        <v>134</v>
      </c>
      <c r="I116" s="26">
        <v>20032.34</v>
      </c>
      <c r="J116" s="26">
        <v>1201.94</v>
      </c>
      <c r="K116" s="26">
        <v>21234.28</v>
      </c>
      <c r="L116" s="36" t="s">
        <v>409</v>
      </c>
      <c r="M116" s="25"/>
      <c r="N116" s="25" t="s">
        <v>276</v>
      </c>
    </row>
    <row r="117" spans="1:14" ht="16.5" customHeight="1" x14ac:dyDescent="0.3">
      <c r="A117" s="28" t="s">
        <v>410</v>
      </c>
      <c r="B117" s="29">
        <v>45818</v>
      </c>
      <c r="C117" s="29">
        <v>45848</v>
      </c>
      <c r="D117" s="30" t="s">
        <v>107</v>
      </c>
      <c r="E117" s="30" t="s">
        <v>108</v>
      </c>
      <c r="F117" s="30" t="s">
        <v>25</v>
      </c>
      <c r="G117" s="30" t="s">
        <v>411</v>
      </c>
      <c r="H117" s="30" t="s">
        <v>140</v>
      </c>
      <c r="I117" s="31">
        <v>10178.120000000001</v>
      </c>
      <c r="J117" s="31">
        <v>610.69000000000005</v>
      </c>
      <c r="K117" s="31">
        <v>10788.81</v>
      </c>
      <c r="L117" s="36" t="s">
        <v>409</v>
      </c>
      <c r="M117" s="30"/>
      <c r="N117" s="30" t="s">
        <v>276</v>
      </c>
    </row>
    <row r="118" spans="1:14" ht="16.5" customHeight="1" x14ac:dyDescent="0.3">
      <c r="A118" s="23" t="s">
        <v>412</v>
      </c>
      <c r="B118" s="24">
        <v>45860</v>
      </c>
      <c r="C118" s="24">
        <v>45890</v>
      </c>
      <c r="D118" s="25" t="s">
        <v>113</v>
      </c>
      <c r="E118" s="25" t="s">
        <v>114</v>
      </c>
      <c r="F118" s="25" t="s">
        <v>28</v>
      </c>
      <c r="G118" s="25" t="s">
        <v>413</v>
      </c>
      <c r="H118" s="25" t="s">
        <v>146</v>
      </c>
      <c r="I118" s="26">
        <v>32898.480000000003</v>
      </c>
      <c r="J118" s="26">
        <v>1973.91</v>
      </c>
      <c r="K118" s="26">
        <v>34872.39</v>
      </c>
      <c r="L118" s="36" t="s">
        <v>409</v>
      </c>
      <c r="M118" s="25"/>
      <c r="N118" s="25" t="s">
        <v>276</v>
      </c>
    </row>
    <row r="119" spans="1:14" ht="16.5" customHeight="1" x14ac:dyDescent="0.3">
      <c r="A119" s="28" t="s">
        <v>414</v>
      </c>
      <c r="B119" s="29">
        <v>45875</v>
      </c>
      <c r="C119" s="29">
        <v>45905</v>
      </c>
      <c r="D119" s="30" t="s">
        <v>119</v>
      </c>
      <c r="E119" s="30" t="s">
        <v>120</v>
      </c>
      <c r="F119" s="30" t="s">
        <v>30</v>
      </c>
      <c r="G119" s="30" t="s">
        <v>415</v>
      </c>
      <c r="H119" s="30" t="s">
        <v>150</v>
      </c>
      <c r="I119" s="31">
        <v>20204.32</v>
      </c>
      <c r="J119" s="31">
        <v>1212.26</v>
      </c>
      <c r="K119" s="31">
        <v>21416.58</v>
      </c>
      <c r="L119" s="36" t="s">
        <v>409</v>
      </c>
      <c r="M119" s="30"/>
      <c r="N119" s="30" t="s">
        <v>276</v>
      </c>
    </row>
    <row r="120" spans="1:14" ht="16.5" customHeight="1" x14ac:dyDescent="0.3">
      <c r="A120" s="23" t="s">
        <v>416</v>
      </c>
      <c r="B120" s="24">
        <v>45927</v>
      </c>
      <c r="C120" s="24">
        <v>45957</v>
      </c>
      <c r="D120" s="25" t="s">
        <v>125</v>
      </c>
      <c r="E120" s="25" t="s">
        <v>126</v>
      </c>
      <c r="F120" s="25" t="s">
        <v>32</v>
      </c>
      <c r="G120" s="25" t="s">
        <v>417</v>
      </c>
      <c r="H120" s="25" t="s">
        <v>154</v>
      </c>
      <c r="I120" s="26">
        <v>15421.35</v>
      </c>
      <c r="J120" s="26">
        <v>925.28</v>
      </c>
      <c r="K120" s="26">
        <v>16346.63</v>
      </c>
      <c r="L120" s="36" t="s">
        <v>409</v>
      </c>
      <c r="M120" s="25"/>
      <c r="N120" s="25" t="s">
        <v>276</v>
      </c>
    </row>
    <row r="121" spans="1:14" ht="16.5" customHeight="1" x14ac:dyDescent="0.3">
      <c r="A121" s="28" t="s">
        <v>418</v>
      </c>
      <c r="B121" s="29">
        <v>45937</v>
      </c>
      <c r="C121" s="29">
        <v>45967</v>
      </c>
      <c r="D121" s="30" t="s">
        <v>131</v>
      </c>
      <c r="E121" s="30" t="s">
        <v>132</v>
      </c>
      <c r="F121" s="30" t="s">
        <v>34</v>
      </c>
      <c r="G121" s="30" t="s">
        <v>419</v>
      </c>
      <c r="H121" s="30" t="s">
        <v>158</v>
      </c>
      <c r="I121" s="31">
        <v>37973.51</v>
      </c>
      <c r="J121" s="31">
        <v>2278.41</v>
      </c>
      <c r="K121" s="31">
        <v>40251.919999999998</v>
      </c>
      <c r="L121" s="37" t="s">
        <v>420</v>
      </c>
      <c r="M121" s="30"/>
      <c r="N121" s="30" t="s">
        <v>276</v>
      </c>
    </row>
    <row r="122" spans="1:14" ht="16.5" customHeight="1" x14ac:dyDescent="0.3">
      <c r="A122" s="23" t="s">
        <v>421</v>
      </c>
      <c r="B122" s="24">
        <v>45981</v>
      </c>
      <c r="C122" s="24">
        <v>46011</v>
      </c>
      <c r="D122" s="25" t="s">
        <v>137</v>
      </c>
      <c r="E122" s="25" t="s">
        <v>138</v>
      </c>
      <c r="F122" s="25" t="s">
        <v>36</v>
      </c>
      <c r="G122" s="25" t="s">
        <v>422</v>
      </c>
      <c r="H122" s="25" t="s">
        <v>162</v>
      </c>
      <c r="I122" s="26">
        <v>22961.45</v>
      </c>
      <c r="J122" s="26">
        <v>1377.69</v>
      </c>
      <c r="K122" s="26">
        <v>24339.14</v>
      </c>
      <c r="L122" s="37" t="s">
        <v>420</v>
      </c>
      <c r="M122" s="25"/>
      <c r="N122" s="25" t="s">
        <v>276</v>
      </c>
    </row>
    <row r="123" spans="1:14" ht="16.5" customHeight="1" x14ac:dyDescent="0.3">
      <c r="A123" s="28" t="s">
        <v>423</v>
      </c>
      <c r="B123" s="29">
        <v>46006</v>
      </c>
      <c r="C123" s="29">
        <v>46036</v>
      </c>
      <c r="D123" s="30" t="s">
        <v>143</v>
      </c>
      <c r="E123" s="30" t="s">
        <v>144</v>
      </c>
      <c r="F123" s="30" t="s">
        <v>38</v>
      </c>
      <c r="G123" s="30" t="s">
        <v>424</v>
      </c>
      <c r="H123" s="30" t="s">
        <v>166</v>
      </c>
      <c r="I123" s="31">
        <v>25122.94</v>
      </c>
      <c r="J123" s="31">
        <v>1507.38</v>
      </c>
      <c r="K123" s="31">
        <v>26630.32</v>
      </c>
      <c r="L123" s="37" t="s">
        <v>420</v>
      </c>
      <c r="M123" s="30"/>
      <c r="N123" s="30" t="s">
        <v>276</v>
      </c>
    </row>
    <row r="124" spans="1:14" ht="19.5" customHeight="1" x14ac:dyDescent="0.3">
      <c r="A124" s="38" t="s">
        <v>425</v>
      </c>
      <c r="B124" s="38"/>
      <c r="C124" s="38"/>
      <c r="D124" s="38"/>
      <c r="E124" s="38"/>
      <c r="F124" s="38"/>
      <c r="G124" s="38"/>
      <c r="H124" s="38"/>
      <c r="I124" s="39">
        <f>SUM(I4:I123)</f>
        <v>2878497.959999999</v>
      </c>
      <c r="J124" s="39">
        <f>SUM(J4:J123)</f>
        <v>172709.85000000003</v>
      </c>
      <c r="K124" s="39">
        <f>SUM(K4:K123)</f>
        <v>3051207.8100000005</v>
      </c>
      <c r="L124" s="40"/>
      <c r="M124" s="40"/>
      <c r="N124" s="40"/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9"/>
  <sheetViews>
    <sheetView showGridLines="0" zoomScaleNormal="100" workbookViewId="0">
      <pane ySplit="3" topLeftCell="A52" activePane="bottomLeft" state="frozen"/>
      <selection pane="bottomLeft" sqref="A1:M1"/>
    </sheetView>
  </sheetViews>
  <sheetFormatPr defaultColWidth="8.6640625" defaultRowHeight="14.4" x14ac:dyDescent="0.3"/>
  <cols>
    <col min="1" max="1" width="14" customWidth="1"/>
    <col min="2" max="2" width="24" customWidth="1"/>
    <col min="3" max="3" width="12" customWidth="1"/>
    <col min="4" max="4" width="22" customWidth="1"/>
    <col min="5" max="5" width="13" customWidth="1"/>
    <col min="6" max="6" width="14" customWidth="1"/>
    <col min="7" max="7" width="22" customWidth="1"/>
    <col min="8" max="8" width="36" customWidth="1"/>
    <col min="9" max="9" width="14" customWidth="1"/>
    <col min="10" max="10" width="18" customWidth="1"/>
    <col min="11" max="11" width="22" customWidth="1"/>
    <col min="12" max="12" width="13" customWidth="1"/>
    <col min="13" max="13" width="28" customWidth="1"/>
  </cols>
  <sheetData>
    <row r="1" spans="1:13" ht="25.5" customHeight="1" x14ac:dyDescent="0.3">
      <c r="A1" s="72" t="s">
        <v>426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18" customHeight="1" x14ac:dyDescent="0.3">
      <c r="A2" s="71" t="s">
        <v>427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24" customHeight="1" x14ac:dyDescent="0.3">
      <c r="A3" s="1" t="s">
        <v>428</v>
      </c>
      <c r="B3" s="1" t="s">
        <v>429</v>
      </c>
      <c r="C3" s="1" t="s">
        <v>430</v>
      </c>
      <c r="D3" s="1" t="s">
        <v>2</v>
      </c>
      <c r="E3" s="1" t="s">
        <v>431</v>
      </c>
      <c r="F3" s="1" t="s">
        <v>432</v>
      </c>
      <c r="G3" s="1" t="s">
        <v>433</v>
      </c>
      <c r="H3" s="1" t="s">
        <v>50</v>
      </c>
      <c r="I3" s="1" t="s">
        <v>51</v>
      </c>
      <c r="J3" s="1" t="s">
        <v>434</v>
      </c>
      <c r="K3" s="1" t="s">
        <v>435</v>
      </c>
      <c r="L3" s="1" t="s">
        <v>55</v>
      </c>
      <c r="M3" s="1" t="s">
        <v>436</v>
      </c>
    </row>
    <row r="4" spans="1:13" ht="16.5" customHeight="1" x14ac:dyDescent="0.3">
      <c r="A4" s="23" t="s">
        <v>437</v>
      </c>
      <c r="B4" s="25" t="s">
        <v>438</v>
      </c>
      <c r="C4" s="25" t="s">
        <v>439</v>
      </c>
      <c r="D4" s="25" t="s">
        <v>20</v>
      </c>
      <c r="E4" s="24">
        <v>45670</v>
      </c>
      <c r="F4" s="24">
        <v>45685</v>
      </c>
      <c r="G4" s="25" t="s">
        <v>440</v>
      </c>
      <c r="H4" s="41" t="s">
        <v>441</v>
      </c>
      <c r="I4" s="26">
        <v>165.2</v>
      </c>
      <c r="J4" s="27" t="s">
        <v>442</v>
      </c>
      <c r="K4" s="25" t="s">
        <v>443</v>
      </c>
      <c r="L4" s="24">
        <v>45694</v>
      </c>
      <c r="M4" s="41" t="s">
        <v>444</v>
      </c>
    </row>
    <row r="5" spans="1:13" ht="16.5" customHeight="1" x14ac:dyDescent="0.3">
      <c r="A5" s="28" t="s">
        <v>445</v>
      </c>
      <c r="B5" s="30" t="s">
        <v>446</v>
      </c>
      <c r="C5" s="30" t="s">
        <v>447</v>
      </c>
      <c r="D5" s="30" t="s">
        <v>25</v>
      </c>
      <c r="E5" s="29">
        <v>45697</v>
      </c>
      <c r="F5" s="29">
        <v>45712</v>
      </c>
      <c r="G5" s="30" t="s">
        <v>448</v>
      </c>
      <c r="H5" s="42" t="s">
        <v>449</v>
      </c>
      <c r="I5" s="31">
        <v>4578.16</v>
      </c>
      <c r="J5" s="27" t="s">
        <v>442</v>
      </c>
      <c r="K5" s="30" t="s">
        <v>450</v>
      </c>
      <c r="L5" s="29">
        <v>45723</v>
      </c>
      <c r="M5" s="42" t="s">
        <v>444</v>
      </c>
    </row>
    <row r="6" spans="1:13" ht="16.5" customHeight="1" x14ac:dyDescent="0.3">
      <c r="A6" s="23" t="s">
        <v>451</v>
      </c>
      <c r="B6" s="25" t="s">
        <v>452</v>
      </c>
      <c r="C6" s="25" t="s">
        <v>453</v>
      </c>
      <c r="D6" s="25" t="s">
        <v>28</v>
      </c>
      <c r="E6" s="24">
        <v>45730</v>
      </c>
      <c r="F6" s="24">
        <v>45739</v>
      </c>
      <c r="G6" s="25" t="s">
        <v>454</v>
      </c>
      <c r="H6" s="41" t="s">
        <v>455</v>
      </c>
      <c r="I6" s="26">
        <v>837.86</v>
      </c>
      <c r="J6" s="27" t="s">
        <v>442</v>
      </c>
      <c r="K6" s="25" t="s">
        <v>456</v>
      </c>
      <c r="L6" s="24">
        <v>45750</v>
      </c>
      <c r="M6" s="41" t="s">
        <v>444</v>
      </c>
    </row>
    <row r="7" spans="1:13" ht="16.5" customHeight="1" x14ac:dyDescent="0.3">
      <c r="A7" s="28" t="s">
        <v>457</v>
      </c>
      <c r="B7" s="30" t="s">
        <v>458</v>
      </c>
      <c r="C7" s="30" t="s">
        <v>459</v>
      </c>
      <c r="D7" s="30" t="s">
        <v>30</v>
      </c>
      <c r="E7" s="29">
        <v>45752</v>
      </c>
      <c r="F7" s="29">
        <v>45769</v>
      </c>
      <c r="G7" s="30" t="s">
        <v>460</v>
      </c>
      <c r="H7" s="42" t="s">
        <v>461</v>
      </c>
      <c r="I7" s="31">
        <v>278.74</v>
      </c>
      <c r="J7" s="27" t="s">
        <v>442</v>
      </c>
      <c r="K7" s="30" t="s">
        <v>450</v>
      </c>
      <c r="L7" s="29">
        <v>45778</v>
      </c>
      <c r="M7" s="42" t="s">
        <v>444</v>
      </c>
    </row>
    <row r="8" spans="1:13" ht="16.5" customHeight="1" x14ac:dyDescent="0.3">
      <c r="A8" s="23" t="s">
        <v>462</v>
      </c>
      <c r="B8" s="25" t="s">
        <v>463</v>
      </c>
      <c r="C8" s="25" t="s">
        <v>464</v>
      </c>
      <c r="D8" s="25" t="s">
        <v>32</v>
      </c>
      <c r="E8" s="24">
        <v>45800</v>
      </c>
      <c r="F8" s="24">
        <v>45819</v>
      </c>
      <c r="G8" s="25" t="s">
        <v>465</v>
      </c>
      <c r="H8" s="41" t="s">
        <v>466</v>
      </c>
      <c r="I8" s="26">
        <v>98.76</v>
      </c>
      <c r="J8" s="27" t="s">
        <v>442</v>
      </c>
      <c r="K8" s="25" t="s">
        <v>450</v>
      </c>
      <c r="L8" s="24">
        <v>45827</v>
      </c>
      <c r="M8" s="41" t="s">
        <v>444</v>
      </c>
    </row>
    <row r="9" spans="1:13" ht="16.5" customHeight="1" x14ac:dyDescent="0.3">
      <c r="A9" s="28" t="s">
        <v>467</v>
      </c>
      <c r="B9" s="30" t="s">
        <v>468</v>
      </c>
      <c r="C9" s="30" t="s">
        <v>469</v>
      </c>
      <c r="D9" s="30" t="s">
        <v>34</v>
      </c>
      <c r="E9" s="29">
        <v>45817</v>
      </c>
      <c r="F9" s="29">
        <v>45837</v>
      </c>
      <c r="G9" s="30" t="s">
        <v>470</v>
      </c>
      <c r="H9" s="42" t="s">
        <v>471</v>
      </c>
      <c r="I9" s="31">
        <v>76.959999999999994</v>
      </c>
      <c r="J9" s="27" t="s">
        <v>442</v>
      </c>
      <c r="K9" s="30" t="s">
        <v>456</v>
      </c>
      <c r="L9" s="29">
        <v>45846</v>
      </c>
      <c r="M9" s="42" t="s">
        <v>444</v>
      </c>
    </row>
    <row r="10" spans="1:13" ht="16.5" customHeight="1" x14ac:dyDescent="0.3">
      <c r="A10" s="23" t="s">
        <v>472</v>
      </c>
      <c r="B10" s="25" t="s">
        <v>473</v>
      </c>
      <c r="C10" s="25" t="s">
        <v>474</v>
      </c>
      <c r="D10" s="25" t="s">
        <v>36</v>
      </c>
      <c r="E10" s="24">
        <v>45853</v>
      </c>
      <c r="F10" s="24">
        <v>45872</v>
      </c>
      <c r="G10" s="25" t="s">
        <v>475</v>
      </c>
      <c r="H10" s="41" t="s">
        <v>476</v>
      </c>
      <c r="I10" s="26">
        <v>2742.94</v>
      </c>
      <c r="J10" s="27" t="s">
        <v>442</v>
      </c>
      <c r="K10" s="25" t="s">
        <v>450</v>
      </c>
      <c r="L10" s="24">
        <v>45882</v>
      </c>
      <c r="M10" s="41" t="s">
        <v>444</v>
      </c>
    </row>
    <row r="11" spans="1:13" ht="16.5" customHeight="1" x14ac:dyDescent="0.3">
      <c r="A11" s="28" t="s">
        <v>477</v>
      </c>
      <c r="B11" s="30" t="s">
        <v>478</v>
      </c>
      <c r="C11" s="30" t="s">
        <v>479</v>
      </c>
      <c r="D11" s="30" t="s">
        <v>38</v>
      </c>
      <c r="E11" s="29">
        <v>45876</v>
      </c>
      <c r="F11" s="29">
        <v>45884</v>
      </c>
      <c r="G11" s="30" t="s">
        <v>480</v>
      </c>
      <c r="H11" s="42" t="s">
        <v>481</v>
      </c>
      <c r="I11" s="31">
        <v>77.52</v>
      </c>
      <c r="J11" s="27" t="s">
        <v>442</v>
      </c>
      <c r="K11" s="30" t="s">
        <v>443</v>
      </c>
      <c r="L11" s="29">
        <v>45894</v>
      </c>
      <c r="M11" s="42" t="s">
        <v>444</v>
      </c>
    </row>
    <row r="12" spans="1:13" ht="16.5" customHeight="1" x14ac:dyDescent="0.3">
      <c r="A12" s="23" t="s">
        <v>482</v>
      </c>
      <c r="B12" s="25" t="s">
        <v>483</v>
      </c>
      <c r="C12" s="25" t="s">
        <v>484</v>
      </c>
      <c r="D12" s="25" t="s">
        <v>20</v>
      </c>
      <c r="E12" s="24">
        <v>45902</v>
      </c>
      <c r="F12" s="24">
        <v>45908</v>
      </c>
      <c r="G12" s="25" t="s">
        <v>485</v>
      </c>
      <c r="H12" s="41" t="s">
        <v>486</v>
      </c>
      <c r="I12" s="26">
        <v>402.65</v>
      </c>
      <c r="J12" s="27" t="s">
        <v>442</v>
      </c>
      <c r="K12" s="25" t="s">
        <v>450</v>
      </c>
      <c r="L12" s="24">
        <v>45917</v>
      </c>
      <c r="M12" s="41" t="s">
        <v>444</v>
      </c>
    </row>
    <row r="13" spans="1:13" ht="16.5" customHeight="1" x14ac:dyDescent="0.3">
      <c r="A13" s="28" t="s">
        <v>487</v>
      </c>
      <c r="B13" s="30" t="s">
        <v>488</v>
      </c>
      <c r="C13" s="30" t="s">
        <v>489</v>
      </c>
      <c r="D13" s="30" t="s">
        <v>34</v>
      </c>
      <c r="E13" s="29">
        <v>45944</v>
      </c>
      <c r="F13" s="29">
        <v>45949</v>
      </c>
      <c r="G13" s="30" t="s">
        <v>490</v>
      </c>
      <c r="H13" s="42" t="s">
        <v>491</v>
      </c>
      <c r="I13" s="31">
        <v>315.48</v>
      </c>
      <c r="J13" s="27" t="s">
        <v>442</v>
      </c>
      <c r="K13" s="30" t="s">
        <v>450</v>
      </c>
      <c r="L13" s="29">
        <v>45962</v>
      </c>
      <c r="M13" s="42" t="s">
        <v>444</v>
      </c>
    </row>
    <row r="14" spans="1:13" ht="16.5" customHeight="1" x14ac:dyDescent="0.3">
      <c r="A14" s="23" t="s">
        <v>492</v>
      </c>
      <c r="B14" s="25" t="s">
        <v>493</v>
      </c>
      <c r="C14" s="25" t="s">
        <v>494</v>
      </c>
      <c r="D14" s="25" t="s">
        <v>25</v>
      </c>
      <c r="E14" s="24">
        <v>45966</v>
      </c>
      <c r="F14" s="24">
        <v>45985</v>
      </c>
      <c r="G14" s="25" t="s">
        <v>440</v>
      </c>
      <c r="H14" s="41" t="s">
        <v>495</v>
      </c>
      <c r="I14" s="26">
        <v>412.99</v>
      </c>
      <c r="J14" s="27" t="s">
        <v>442</v>
      </c>
      <c r="K14" s="25" t="s">
        <v>443</v>
      </c>
      <c r="L14" s="24">
        <v>45996</v>
      </c>
      <c r="M14" s="41" t="s">
        <v>444</v>
      </c>
    </row>
    <row r="15" spans="1:13" ht="16.5" customHeight="1" x14ac:dyDescent="0.3">
      <c r="A15" s="28" t="s">
        <v>496</v>
      </c>
      <c r="B15" s="30" t="s">
        <v>497</v>
      </c>
      <c r="C15" s="30" t="s">
        <v>498</v>
      </c>
      <c r="D15" s="30" t="s">
        <v>28</v>
      </c>
      <c r="E15" s="29">
        <v>46006</v>
      </c>
      <c r="F15" s="29">
        <v>46017</v>
      </c>
      <c r="G15" s="30" t="s">
        <v>448</v>
      </c>
      <c r="H15" s="42" t="s">
        <v>449</v>
      </c>
      <c r="I15" s="31">
        <v>4170.4799999999996</v>
      </c>
      <c r="J15" s="27" t="s">
        <v>442</v>
      </c>
      <c r="K15" s="30" t="s">
        <v>443</v>
      </c>
      <c r="L15" s="29">
        <v>46030</v>
      </c>
      <c r="M15" s="42" t="s">
        <v>444</v>
      </c>
    </row>
    <row r="16" spans="1:13" ht="16.5" customHeight="1" x14ac:dyDescent="0.3">
      <c r="A16" s="23" t="s">
        <v>499</v>
      </c>
      <c r="B16" s="25" t="s">
        <v>438</v>
      </c>
      <c r="C16" s="25" t="s">
        <v>439</v>
      </c>
      <c r="D16" s="25" t="s">
        <v>20</v>
      </c>
      <c r="E16" s="24">
        <v>45680</v>
      </c>
      <c r="F16" s="24">
        <v>45698</v>
      </c>
      <c r="G16" s="25" t="s">
        <v>454</v>
      </c>
      <c r="H16" s="41" t="s">
        <v>500</v>
      </c>
      <c r="I16" s="26">
        <v>770.84</v>
      </c>
      <c r="J16" s="27" t="s">
        <v>442</v>
      </c>
      <c r="K16" s="25" t="s">
        <v>456</v>
      </c>
      <c r="L16" s="24">
        <v>45708</v>
      </c>
      <c r="M16" s="41" t="s">
        <v>444</v>
      </c>
    </row>
    <row r="17" spans="1:13" ht="16.5" customHeight="1" x14ac:dyDescent="0.3">
      <c r="A17" s="28" t="s">
        <v>501</v>
      </c>
      <c r="B17" s="30" t="s">
        <v>446</v>
      </c>
      <c r="C17" s="30" t="s">
        <v>447</v>
      </c>
      <c r="D17" s="30" t="s">
        <v>25</v>
      </c>
      <c r="E17" s="29">
        <v>45708</v>
      </c>
      <c r="F17" s="29">
        <v>45724</v>
      </c>
      <c r="G17" s="30" t="s">
        <v>460</v>
      </c>
      <c r="H17" s="42" t="s">
        <v>502</v>
      </c>
      <c r="I17" s="31">
        <v>77.650000000000006</v>
      </c>
      <c r="J17" s="27" t="s">
        <v>442</v>
      </c>
      <c r="K17" s="30" t="s">
        <v>450</v>
      </c>
      <c r="L17" s="29">
        <v>45734</v>
      </c>
      <c r="M17" s="42" t="s">
        <v>444</v>
      </c>
    </row>
    <row r="18" spans="1:13" ht="16.5" customHeight="1" x14ac:dyDescent="0.3">
      <c r="A18" s="23" t="s">
        <v>503</v>
      </c>
      <c r="B18" s="25" t="s">
        <v>452</v>
      </c>
      <c r="C18" s="25" t="s">
        <v>453</v>
      </c>
      <c r="D18" s="25" t="s">
        <v>28</v>
      </c>
      <c r="E18" s="24">
        <v>45722</v>
      </c>
      <c r="F18" s="24">
        <v>45738</v>
      </c>
      <c r="G18" s="25" t="s">
        <v>465</v>
      </c>
      <c r="H18" s="41" t="s">
        <v>504</v>
      </c>
      <c r="I18" s="26">
        <v>115.22</v>
      </c>
      <c r="J18" s="27" t="s">
        <v>442</v>
      </c>
      <c r="K18" s="25" t="s">
        <v>450</v>
      </c>
      <c r="L18" s="24">
        <v>45753</v>
      </c>
      <c r="M18" s="41" t="s">
        <v>444</v>
      </c>
    </row>
    <row r="19" spans="1:13" ht="16.5" customHeight="1" x14ac:dyDescent="0.3">
      <c r="A19" s="28" t="s">
        <v>505</v>
      </c>
      <c r="B19" s="30" t="s">
        <v>458</v>
      </c>
      <c r="C19" s="30" t="s">
        <v>459</v>
      </c>
      <c r="D19" s="30" t="s">
        <v>30</v>
      </c>
      <c r="E19" s="29">
        <v>45755</v>
      </c>
      <c r="F19" s="29">
        <v>45766</v>
      </c>
      <c r="G19" s="30" t="s">
        <v>470</v>
      </c>
      <c r="H19" s="42" t="s">
        <v>471</v>
      </c>
      <c r="I19" s="31">
        <v>72.42</v>
      </c>
      <c r="J19" s="27" t="s">
        <v>442</v>
      </c>
      <c r="K19" s="30" t="s">
        <v>443</v>
      </c>
      <c r="L19" s="29">
        <v>45778</v>
      </c>
      <c r="M19" s="42" t="s">
        <v>444</v>
      </c>
    </row>
    <row r="20" spans="1:13" ht="16.5" customHeight="1" x14ac:dyDescent="0.3">
      <c r="A20" s="23" t="s">
        <v>506</v>
      </c>
      <c r="B20" s="25" t="s">
        <v>463</v>
      </c>
      <c r="C20" s="25" t="s">
        <v>464</v>
      </c>
      <c r="D20" s="25" t="s">
        <v>32</v>
      </c>
      <c r="E20" s="24">
        <v>45778</v>
      </c>
      <c r="F20" s="24">
        <v>45782</v>
      </c>
      <c r="G20" s="25" t="s">
        <v>475</v>
      </c>
      <c r="H20" s="41" t="s">
        <v>507</v>
      </c>
      <c r="I20" s="26">
        <v>1273.5899999999999</v>
      </c>
      <c r="J20" s="27" t="s">
        <v>442</v>
      </c>
      <c r="K20" s="25" t="s">
        <v>450</v>
      </c>
      <c r="L20" s="24">
        <v>45796</v>
      </c>
      <c r="M20" s="41" t="s">
        <v>444</v>
      </c>
    </row>
    <row r="21" spans="1:13" ht="16.5" customHeight="1" x14ac:dyDescent="0.3">
      <c r="A21" s="28" t="s">
        <v>508</v>
      </c>
      <c r="B21" s="30" t="s">
        <v>468</v>
      </c>
      <c r="C21" s="30" t="s">
        <v>469</v>
      </c>
      <c r="D21" s="30" t="s">
        <v>34</v>
      </c>
      <c r="E21" s="29">
        <v>45821</v>
      </c>
      <c r="F21" s="29">
        <v>45837</v>
      </c>
      <c r="G21" s="30" t="s">
        <v>480</v>
      </c>
      <c r="H21" s="42" t="s">
        <v>509</v>
      </c>
      <c r="I21" s="31">
        <v>71.11</v>
      </c>
      <c r="J21" s="27" t="s">
        <v>442</v>
      </c>
      <c r="K21" s="30" t="s">
        <v>443</v>
      </c>
      <c r="L21" s="29">
        <v>45845</v>
      </c>
      <c r="M21" s="42" t="s">
        <v>444</v>
      </c>
    </row>
    <row r="22" spans="1:13" ht="16.5" customHeight="1" x14ac:dyDescent="0.3">
      <c r="A22" s="23" t="s">
        <v>510</v>
      </c>
      <c r="B22" s="25" t="s">
        <v>473</v>
      </c>
      <c r="C22" s="25" t="s">
        <v>474</v>
      </c>
      <c r="D22" s="25" t="s">
        <v>36</v>
      </c>
      <c r="E22" s="24">
        <v>45850</v>
      </c>
      <c r="F22" s="24">
        <v>45865</v>
      </c>
      <c r="G22" s="25" t="s">
        <v>485</v>
      </c>
      <c r="H22" s="41" t="s">
        <v>511</v>
      </c>
      <c r="I22" s="26">
        <v>288.2</v>
      </c>
      <c r="J22" s="27" t="s">
        <v>442</v>
      </c>
      <c r="K22" s="25" t="s">
        <v>456</v>
      </c>
      <c r="L22" s="24">
        <v>45876</v>
      </c>
      <c r="M22" s="41" t="s">
        <v>444</v>
      </c>
    </row>
    <row r="23" spans="1:13" ht="16.5" customHeight="1" x14ac:dyDescent="0.3">
      <c r="A23" s="28" t="s">
        <v>512</v>
      </c>
      <c r="B23" s="30" t="s">
        <v>478</v>
      </c>
      <c r="C23" s="30" t="s">
        <v>479</v>
      </c>
      <c r="D23" s="30" t="s">
        <v>38</v>
      </c>
      <c r="E23" s="29">
        <v>45890</v>
      </c>
      <c r="F23" s="29">
        <v>45902</v>
      </c>
      <c r="G23" s="30" t="s">
        <v>490</v>
      </c>
      <c r="H23" s="42" t="s">
        <v>513</v>
      </c>
      <c r="I23" s="31">
        <v>144</v>
      </c>
      <c r="J23" s="27" t="s">
        <v>442</v>
      </c>
      <c r="K23" s="30" t="s">
        <v>456</v>
      </c>
      <c r="L23" s="29">
        <v>45913</v>
      </c>
      <c r="M23" s="42" t="s">
        <v>444</v>
      </c>
    </row>
    <row r="24" spans="1:13" ht="16.5" customHeight="1" x14ac:dyDescent="0.3">
      <c r="A24" s="23" t="s">
        <v>514</v>
      </c>
      <c r="B24" s="25" t="s">
        <v>483</v>
      </c>
      <c r="C24" s="25" t="s">
        <v>484</v>
      </c>
      <c r="D24" s="25" t="s">
        <v>20</v>
      </c>
      <c r="E24" s="24">
        <v>45913</v>
      </c>
      <c r="F24" s="24">
        <v>45925</v>
      </c>
      <c r="G24" s="25" t="s">
        <v>440</v>
      </c>
      <c r="H24" s="41" t="s">
        <v>495</v>
      </c>
      <c r="I24" s="26">
        <v>406.53</v>
      </c>
      <c r="J24" s="27" t="s">
        <v>442</v>
      </c>
      <c r="K24" s="25" t="s">
        <v>450</v>
      </c>
      <c r="L24" s="24">
        <v>45937</v>
      </c>
      <c r="M24" s="41" t="s">
        <v>444</v>
      </c>
    </row>
    <row r="25" spans="1:13" ht="16.5" customHeight="1" x14ac:dyDescent="0.3">
      <c r="A25" s="28" t="s">
        <v>515</v>
      </c>
      <c r="B25" s="30" t="s">
        <v>488</v>
      </c>
      <c r="C25" s="30" t="s">
        <v>489</v>
      </c>
      <c r="D25" s="30" t="s">
        <v>34</v>
      </c>
      <c r="E25" s="29">
        <v>45933</v>
      </c>
      <c r="F25" s="29">
        <v>45952</v>
      </c>
      <c r="G25" s="30" t="s">
        <v>448</v>
      </c>
      <c r="H25" s="42" t="s">
        <v>516</v>
      </c>
      <c r="I25" s="31">
        <v>4037.53</v>
      </c>
      <c r="J25" s="27" t="s">
        <v>442</v>
      </c>
      <c r="K25" s="30" t="s">
        <v>456</v>
      </c>
      <c r="L25" s="29">
        <v>45962</v>
      </c>
      <c r="M25" s="42" t="s">
        <v>444</v>
      </c>
    </row>
    <row r="26" spans="1:13" ht="16.5" customHeight="1" x14ac:dyDescent="0.3">
      <c r="A26" s="23" t="s">
        <v>517</v>
      </c>
      <c r="B26" s="25" t="s">
        <v>493</v>
      </c>
      <c r="C26" s="25" t="s">
        <v>494</v>
      </c>
      <c r="D26" s="25" t="s">
        <v>25</v>
      </c>
      <c r="E26" s="24">
        <v>45970</v>
      </c>
      <c r="F26" s="24">
        <v>45986</v>
      </c>
      <c r="G26" s="25" t="s">
        <v>454</v>
      </c>
      <c r="H26" s="41" t="s">
        <v>518</v>
      </c>
      <c r="I26" s="26">
        <v>954.49</v>
      </c>
      <c r="J26" s="27" t="s">
        <v>442</v>
      </c>
      <c r="K26" s="25" t="s">
        <v>456</v>
      </c>
      <c r="L26" s="24">
        <v>45996</v>
      </c>
      <c r="M26" s="41" t="s">
        <v>444</v>
      </c>
    </row>
    <row r="27" spans="1:13" ht="16.5" customHeight="1" x14ac:dyDescent="0.3">
      <c r="A27" s="28" t="s">
        <v>519</v>
      </c>
      <c r="B27" s="30" t="s">
        <v>497</v>
      </c>
      <c r="C27" s="30" t="s">
        <v>498</v>
      </c>
      <c r="D27" s="30" t="s">
        <v>28</v>
      </c>
      <c r="E27" s="29">
        <v>46001</v>
      </c>
      <c r="F27" s="29">
        <v>46016</v>
      </c>
      <c r="G27" s="30" t="s">
        <v>460</v>
      </c>
      <c r="H27" s="42" t="s">
        <v>461</v>
      </c>
      <c r="I27" s="31">
        <v>98.48</v>
      </c>
      <c r="J27" s="27" t="s">
        <v>442</v>
      </c>
      <c r="K27" s="30" t="s">
        <v>450</v>
      </c>
      <c r="L27" s="29">
        <v>46027</v>
      </c>
      <c r="M27" s="42" t="s">
        <v>444</v>
      </c>
    </row>
    <row r="28" spans="1:13" ht="16.5" customHeight="1" x14ac:dyDescent="0.3">
      <c r="A28" s="23" t="s">
        <v>520</v>
      </c>
      <c r="B28" s="25" t="s">
        <v>438</v>
      </c>
      <c r="C28" s="25" t="s">
        <v>439</v>
      </c>
      <c r="D28" s="25" t="s">
        <v>20</v>
      </c>
      <c r="E28" s="24">
        <v>45669</v>
      </c>
      <c r="F28" s="24">
        <v>45672</v>
      </c>
      <c r="G28" s="25" t="s">
        <v>465</v>
      </c>
      <c r="H28" s="41" t="s">
        <v>466</v>
      </c>
      <c r="I28" s="26">
        <v>107.77</v>
      </c>
      <c r="J28" s="27" t="s">
        <v>442</v>
      </c>
      <c r="K28" s="25" t="s">
        <v>443</v>
      </c>
      <c r="L28" s="24">
        <v>45682</v>
      </c>
      <c r="M28" s="41" t="s">
        <v>444</v>
      </c>
    </row>
    <row r="29" spans="1:13" ht="16.5" customHeight="1" x14ac:dyDescent="0.3">
      <c r="A29" s="28" t="s">
        <v>521</v>
      </c>
      <c r="B29" s="30" t="s">
        <v>446</v>
      </c>
      <c r="C29" s="30" t="s">
        <v>447</v>
      </c>
      <c r="D29" s="30" t="s">
        <v>25</v>
      </c>
      <c r="E29" s="29">
        <v>45709</v>
      </c>
      <c r="F29" s="29">
        <v>45720</v>
      </c>
      <c r="G29" s="30" t="s">
        <v>470</v>
      </c>
      <c r="H29" s="42" t="s">
        <v>522</v>
      </c>
      <c r="I29" s="31">
        <v>214.47</v>
      </c>
      <c r="J29" s="27" t="s">
        <v>442</v>
      </c>
      <c r="K29" s="30" t="s">
        <v>456</v>
      </c>
      <c r="L29" s="29">
        <v>45731</v>
      </c>
      <c r="M29" s="42" t="s">
        <v>444</v>
      </c>
    </row>
    <row r="30" spans="1:13" ht="16.5" customHeight="1" x14ac:dyDescent="0.3">
      <c r="A30" s="23" t="s">
        <v>523</v>
      </c>
      <c r="B30" s="25" t="s">
        <v>452</v>
      </c>
      <c r="C30" s="25" t="s">
        <v>453</v>
      </c>
      <c r="D30" s="25" t="s">
        <v>28</v>
      </c>
      <c r="E30" s="24">
        <v>45730</v>
      </c>
      <c r="F30" s="24">
        <v>45744</v>
      </c>
      <c r="G30" s="25" t="s">
        <v>475</v>
      </c>
      <c r="H30" s="41" t="s">
        <v>524</v>
      </c>
      <c r="I30" s="26">
        <v>358.86</v>
      </c>
      <c r="J30" s="27" t="s">
        <v>442</v>
      </c>
      <c r="K30" s="25" t="s">
        <v>456</v>
      </c>
      <c r="L30" s="24">
        <v>45755</v>
      </c>
      <c r="M30" s="41" t="s">
        <v>444</v>
      </c>
    </row>
    <row r="31" spans="1:13" ht="16.5" customHeight="1" x14ac:dyDescent="0.3">
      <c r="A31" s="28" t="s">
        <v>525</v>
      </c>
      <c r="B31" s="30" t="s">
        <v>458</v>
      </c>
      <c r="C31" s="30" t="s">
        <v>459</v>
      </c>
      <c r="D31" s="30" t="s">
        <v>30</v>
      </c>
      <c r="E31" s="29">
        <v>45748</v>
      </c>
      <c r="F31" s="29">
        <v>45767</v>
      </c>
      <c r="G31" s="30" t="s">
        <v>480</v>
      </c>
      <c r="H31" s="42" t="s">
        <v>526</v>
      </c>
      <c r="I31" s="31">
        <v>68.67</v>
      </c>
      <c r="J31" s="27" t="s">
        <v>442</v>
      </c>
      <c r="K31" s="30" t="s">
        <v>450</v>
      </c>
      <c r="L31" s="29">
        <v>45778</v>
      </c>
      <c r="M31" s="42" t="s">
        <v>444</v>
      </c>
    </row>
    <row r="32" spans="1:13" ht="16.5" customHeight="1" x14ac:dyDescent="0.3">
      <c r="A32" s="23" t="s">
        <v>527</v>
      </c>
      <c r="B32" s="25" t="s">
        <v>463</v>
      </c>
      <c r="C32" s="25" t="s">
        <v>464</v>
      </c>
      <c r="D32" s="25" t="s">
        <v>32</v>
      </c>
      <c r="E32" s="24">
        <v>45786</v>
      </c>
      <c r="F32" s="24">
        <v>45802</v>
      </c>
      <c r="G32" s="25" t="s">
        <v>485</v>
      </c>
      <c r="H32" s="41" t="s">
        <v>528</v>
      </c>
      <c r="I32" s="26">
        <v>274.13</v>
      </c>
      <c r="J32" s="27" t="s">
        <v>442</v>
      </c>
      <c r="K32" s="25" t="s">
        <v>443</v>
      </c>
      <c r="L32" s="24">
        <v>45811</v>
      </c>
      <c r="M32" s="41" t="s">
        <v>444</v>
      </c>
    </row>
    <row r="33" spans="1:13" ht="16.5" customHeight="1" x14ac:dyDescent="0.3">
      <c r="A33" s="28" t="s">
        <v>529</v>
      </c>
      <c r="B33" s="30" t="s">
        <v>468</v>
      </c>
      <c r="C33" s="30" t="s">
        <v>469</v>
      </c>
      <c r="D33" s="30" t="s">
        <v>34</v>
      </c>
      <c r="E33" s="29">
        <v>45818</v>
      </c>
      <c r="F33" s="29">
        <v>45823</v>
      </c>
      <c r="G33" s="30" t="s">
        <v>490</v>
      </c>
      <c r="H33" s="42" t="s">
        <v>530</v>
      </c>
      <c r="I33" s="31">
        <v>463.29</v>
      </c>
      <c r="J33" s="27" t="s">
        <v>442</v>
      </c>
      <c r="K33" s="30" t="s">
        <v>450</v>
      </c>
      <c r="L33" s="29">
        <v>45835</v>
      </c>
      <c r="M33" s="42" t="s">
        <v>444</v>
      </c>
    </row>
    <row r="34" spans="1:13" ht="16.5" customHeight="1" x14ac:dyDescent="0.3">
      <c r="A34" s="23" t="s">
        <v>531</v>
      </c>
      <c r="B34" s="25" t="s">
        <v>473</v>
      </c>
      <c r="C34" s="25" t="s">
        <v>474</v>
      </c>
      <c r="D34" s="25" t="s">
        <v>36</v>
      </c>
      <c r="E34" s="24">
        <v>45850</v>
      </c>
      <c r="F34" s="24">
        <v>45870</v>
      </c>
      <c r="G34" s="25" t="s">
        <v>440</v>
      </c>
      <c r="H34" s="41" t="s">
        <v>532</v>
      </c>
      <c r="I34" s="26">
        <v>151.78</v>
      </c>
      <c r="J34" s="27" t="s">
        <v>442</v>
      </c>
      <c r="K34" s="25" t="s">
        <v>443</v>
      </c>
      <c r="L34" s="24">
        <v>45884</v>
      </c>
      <c r="M34" s="41" t="s">
        <v>444</v>
      </c>
    </row>
    <row r="35" spans="1:13" ht="16.5" customHeight="1" x14ac:dyDescent="0.3">
      <c r="A35" s="28" t="s">
        <v>533</v>
      </c>
      <c r="B35" s="30" t="s">
        <v>478</v>
      </c>
      <c r="C35" s="30" t="s">
        <v>479</v>
      </c>
      <c r="D35" s="30" t="s">
        <v>38</v>
      </c>
      <c r="E35" s="29">
        <v>45882</v>
      </c>
      <c r="F35" s="29">
        <v>45890</v>
      </c>
      <c r="G35" s="30" t="s">
        <v>448</v>
      </c>
      <c r="H35" s="42" t="s">
        <v>516</v>
      </c>
      <c r="I35" s="31">
        <v>2384.6</v>
      </c>
      <c r="J35" s="27" t="s">
        <v>442</v>
      </c>
      <c r="K35" s="30" t="s">
        <v>443</v>
      </c>
      <c r="L35" s="29">
        <v>45905</v>
      </c>
      <c r="M35" s="42" t="s">
        <v>444</v>
      </c>
    </row>
    <row r="36" spans="1:13" ht="16.5" customHeight="1" x14ac:dyDescent="0.3">
      <c r="A36" s="23" t="s">
        <v>534</v>
      </c>
      <c r="B36" s="25" t="s">
        <v>483</v>
      </c>
      <c r="C36" s="25" t="s">
        <v>484</v>
      </c>
      <c r="D36" s="25" t="s">
        <v>20</v>
      </c>
      <c r="E36" s="24">
        <v>45923</v>
      </c>
      <c r="F36" s="24">
        <v>45938</v>
      </c>
      <c r="G36" s="25" t="s">
        <v>454</v>
      </c>
      <c r="H36" s="41" t="s">
        <v>535</v>
      </c>
      <c r="I36" s="26">
        <v>467.87</v>
      </c>
      <c r="J36" s="27" t="s">
        <v>442</v>
      </c>
      <c r="K36" s="25" t="s">
        <v>443</v>
      </c>
      <c r="L36" s="24">
        <v>45950</v>
      </c>
      <c r="M36" s="41" t="s">
        <v>444</v>
      </c>
    </row>
    <row r="37" spans="1:13" ht="16.5" customHeight="1" x14ac:dyDescent="0.3">
      <c r="A37" s="28" t="s">
        <v>536</v>
      </c>
      <c r="B37" s="30" t="s">
        <v>488</v>
      </c>
      <c r="C37" s="30" t="s">
        <v>489</v>
      </c>
      <c r="D37" s="30" t="s">
        <v>34</v>
      </c>
      <c r="E37" s="29">
        <v>45945</v>
      </c>
      <c r="F37" s="29">
        <v>45960</v>
      </c>
      <c r="G37" s="30" t="s">
        <v>460</v>
      </c>
      <c r="H37" s="42" t="s">
        <v>537</v>
      </c>
      <c r="I37" s="31">
        <v>202.52</v>
      </c>
      <c r="J37" s="27" t="s">
        <v>442</v>
      </c>
      <c r="K37" s="30" t="s">
        <v>456</v>
      </c>
      <c r="L37" s="29">
        <v>45975</v>
      </c>
      <c r="M37" s="42" t="s">
        <v>444</v>
      </c>
    </row>
    <row r="38" spans="1:13" ht="16.5" customHeight="1" x14ac:dyDescent="0.3">
      <c r="A38" s="23" t="s">
        <v>538</v>
      </c>
      <c r="B38" s="25" t="s">
        <v>493</v>
      </c>
      <c r="C38" s="25" t="s">
        <v>494</v>
      </c>
      <c r="D38" s="25" t="s">
        <v>25</v>
      </c>
      <c r="E38" s="24">
        <v>45983</v>
      </c>
      <c r="F38" s="24">
        <v>45991</v>
      </c>
      <c r="G38" s="25" t="s">
        <v>465</v>
      </c>
      <c r="H38" s="41" t="s">
        <v>539</v>
      </c>
      <c r="I38" s="26">
        <v>119.89</v>
      </c>
      <c r="J38" s="27" t="s">
        <v>442</v>
      </c>
      <c r="K38" s="25" t="s">
        <v>456</v>
      </c>
      <c r="L38" s="24">
        <v>45999</v>
      </c>
      <c r="M38" s="41" t="s">
        <v>444</v>
      </c>
    </row>
    <row r="39" spans="1:13" ht="16.5" customHeight="1" x14ac:dyDescent="0.3">
      <c r="A39" s="28" t="s">
        <v>540</v>
      </c>
      <c r="B39" s="30" t="s">
        <v>497</v>
      </c>
      <c r="C39" s="30" t="s">
        <v>498</v>
      </c>
      <c r="D39" s="30" t="s">
        <v>28</v>
      </c>
      <c r="E39" s="29">
        <v>45995</v>
      </c>
      <c r="F39" s="29">
        <v>46008</v>
      </c>
      <c r="G39" s="30" t="s">
        <v>470</v>
      </c>
      <c r="H39" s="42" t="s">
        <v>541</v>
      </c>
      <c r="I39" s="31">
        <v>43.4</v>
      </c>
      <c r="J39" s="27" t="s">
        <v>442</v>
      </c>
      <c r="K39" s="30" t="s">
        <v>456</v>
      </c>
      <c r="L39" s="29">
        <v>46016</v>
      </c>
      <c r="M39" s="42" t="s">
        <v>444</v>
      </c>
    </row>
    <row r="40" spans="1:13" ht="16.5" customHeight="1" x14ac:dyDescent="0.3">
      <c r="A40" s="23" t="s">
        <v>542</v>
      </c>
      <c r="B40" s="25" t="s">
        <v>438</v>
      </c>
      <c r="C40" s="25" t="s">
        <v>439</v>
      </c>
      <c r="D40" s="25" t="s">
        <v>20</v>
      </c>
      <c r="E40" s="24">
        <v>45676</v>
      </c>
      <c r="F40" s="24">
        <v>45696</v>
      </c>
      <c r="G40" s="25" t="s">
        <v>475</v>
      </c>
      <c r="H40" s="41" t="s">
        <v>507</v>
      </c>
      <c r="I40" s="26">
        <v>1778.21</v>
      </c>
      <c r="J40" s="27" t="s">
        <v>442</v>
      </c>
      <c r="K40" s="25" t="s">
        <v>450</v>
      </c>
      <c r="L40" s="24">
        <v>45708</v>
      </c>
      <c r="M40" s="41" t="s">
        <v>444</v>
      </c>
    </row>
    <row r="41" spans="1:13" ht="16.5" customHeight="1" x14ac:dyDescent="0.3">
      <c r="A41" s="28" t="s">
        <v>543</v>
      </c>
      <c r="B41" s="30" t="s">
        <v>446</v>
      </c>
      <c r="C41" s="30" t="s">
        <v>447</v>
      </c>
      <c r="D41" s="30" t="s">
        <v>25</v>
      </c>
      <c r="E41" s="29">
        <v>45694</v>
      </c>
      <c r="F41" s="29">
        <v>45701</v>
      </c>
      <c r="G41" s="30" t="s">
        <v>480</v>
      </c>
      <c r="H41" s="42" t="s">
        <v>544</v>
      </c>
      <c r="I41" s="31">
        <v>56.71</v>
      </c>
      <c r="J41" s="27" t="s">
        <v>442</v>
      </c>
      <c r="K41" s="30" t="s">
        <v>443</v>
      </c>
      <c r="L41" s="29">
        <v>45714</v>
      </c>
      <c r="M41" s="42" t="s">
        <v>444</v>
      </c>
    </row>
    <row r="42" spans="1:13" ht="16.5" customHeight="1" x14ac:dyDescent="0.3">
      <c r="A42" s="23" t="s">
        <v>545</v>
      </c>
      <c r="B42" s="25" t="s">
        <v>452</v>
      </c>
      <c r="C42" s="25" t="s">
        <v>453</v>
      </c>
      <c r="D42" s="25" t="s">
        <v>28</v>
      </c>
      <c r="E42" s="24">
        <v>45733</v>
      </c>
      <c r="F42" s="24">
        <v>45743</v>
      </c>
      <c r="G42" s="25" t="s">
        <v>485</v>
      </c>
      <c r="H42" s="41" t="s">
        <v>546</v>
      </c>
      <c r="I42" s="26">
        <v>254.5</v>
      </c>
      <c r="J42" s="27" t="s">
        <v>442</v>
      </c>
      <c r="K42" s="25" t="s">
        <v>450</v>
      </c>
      <c r="L42" s="24">
        <v>45751</v>
      </c>
      <c r="M42" s="41" t="s">
        <v>444</v>
      </c>
    </row>
    <row r="43" spans="1:13" ht="16.5" customHeight="1" x14ac:dyDescent="0.3">
      <c r="A43" s="28" t="s">
        <v>547</v>
      </c>
      <c r="B43" s="30" t="s">
        <v>458</v>
      </c>
      <c r="C43" s="30" t="s">
        <v>459</v>
      </c>
      <c r="D43" s="30" t="s">
        <v>30</v>
      </c>
      <c r="E43" s="29">
        <v>45770</v>
      </c>
      <c r="F43" s="29">
        <v>45786</v>
      </c>
      <c r="G43" s="30" t="s">
        <v>490</v>
      </c>
      <c r="H43" s="42" t="s">
        <v>491</v>
      </c>
      <c r="I43" s="31">
        <v>100.38</v>
      </c>
      <c r="J43" s="27" t="s">
        <v>442</v>
      </c>
      <c r="K43" s="30" t="s">
        <v>443</v>
      </c>
      <c r="L43" s="29">
        <v>45798</v>
      </c>
      <c r="M43" s="42" t="s">
        <v>444</v>
      </c>
    </row>
    <row r="44" spans="1:13" ht="16.5" customHeight="1" x14ac:dyDescent="0.3">
      <c r="A44" s="23" t="s">
        <v>548</v>
      </c>
      <c r="B44" s="25" t="s">
        <v>463</v>
      </c>
      <c r="C44" s="25" t="s">
        <v>464</v>
      </c>
      <c r="D44" s="25" t="s">
        <v>32</v>
      </c>
      <c r="E44" s="24">
        <v>45786</v>
      </c>
      <c r="F44" s="24">
        <v>45800</v>
      </c>
      <c r="G44" s="25" t="s">
        <v>440</v>
      </c>
      <c r="H44" s="41" t="s">
        <v>549</v>
      </c>
      <c r="I44" s="26">
        <v>366.97</v>
      </c>
      <c r="J44" s="27" t="s">
        <v>442</v>
      </c>
      <c r="K44" s="25" t="s">
        <v>443</v>
      </c>
      <c r="L44" s="24">
        <v>45813</v>
      </c>
      <c r="M44" s="41" t="s">
        <v>444</v>
      </c>
    </row>
    <row r="45" spans="1:13" ht="16.5" customHeight="1" x14ac:dyDescent="0.3">
      <c r="A45" s="28" t="s">
        <v>550</v>
      </c>
      <c r="B45" s="30" t="s">
        <v>468</v>
      </c>
      <c r="C45" s="30" t="s">
        <v>469</v>
      </c>
      <c r="D45" s="30" t="s">
        <v>34</v>
      </c>
      <c r="E45" s="29">
        <v>45829</v>
      </c>
      <c r="F45" s="29">
        <v>45849</v>
      </c>
      <c r="G45" s="30" t="s">
        <v>448</v>
      </c>
      <c r="H45" s="42" t="s">
        <v>551</v>
      </c>
      <c r="I45" s="31">
        <v>3809.09</v>
      </c>
      <c r="J45" s="27" t="s">
        <v>442</v>
      </c>
      <c r="K45" s="30" t="s">
        <v>443</v>
      </c>
      <c r="L45" s="29">
        <v>45859</v>
      </c>
      <c r="M45" s="42" t="s">
        <v>444</v>
      </c>
    </row>
    <row r="46" spans="1:13" ht="16.5" customHeight="1" x14ac:dyDescent="0.3">
      <c r="A46" s="23" t="s">
        <v>552</v>
      </c>
      <c r="B46" s="25" t="s">
        <v>473</v>
      </c>
      <c r="C46" s="25" t="s">
        <v>474</v>
      </c>
      <c r="D46" s="25" t="s">
        <v>36</v>
      </c>
      <c r="E46" s="24">
        <v>45856</v>
      </c>
      <c r="F46" s="24">
        <v>45861</v>
      </c>
      <c r="G46" s="25" t="s">
        <v>454</v>
      </c>
      <c r="H46" s="41" t="s">
        <v>500</v>
      </c>
      <c r="I46" s="26">
        <v>313.25</v>
      </c>
      <c r="J46" s="32" t="s">
        <v>275</v>
      </c>
      <c r="K46" s="25" t="s">
        <v>456</v>
      </c>
      <c r="L46" s="25"/>
      <c r="M46" s="41" t="s">
        <v>553</v>
      </c>
    </row>
    <row r="47" spans="1:13" ht="16.5" customHeight="1" x14ac:dyDescent="0.3">
      <c r="A47" s="28" t="s">
        <v>554</v>
      </c>
      <c r="B47" s="30" t="s">
        <v>478</v>
      </c>
      <c r="C47" s="30" t="s">
        <v>479</v>
      </c>
      <c r="D47" s="30" t="s">
        <v>38</v>
      </c>
      <c r="E47" s="29">
        <v>45877</v>
      </c>
      <c r="F47" s="29">
        <v>45885</v>
      </c>
      <c r="G47" s="30" t="s">
        <v>460</v>
      </c>
      <c r="H47" s="42" t="s">
        <v>555</v>
      </c>
      <c r="I47" s="31">
        <v>290.60000000000002</v>
      </c>
      <c r="J47" s="32" t="s">
        <v>275</v>
      </c>
      <c r="K47" s="30" t="s">
        <v>456</v>
      </c>
      <c r="L47" s="30"/>
      <c r="M47" s="42" t="s">
        <v>553</v>
      </c>
    </row>
    <row r="48" spans="1:13" ht="16.5" customHeight="1" x14ac:dyDescent="0.3">
      <c r="A48" s="23" t="s">
        <v>556</v>
      </c>
      <c r="B48" s="25" t="s">
        <v>483</v>
      </c>
      <c r="C48" s="25" t="s">
        <v>484</v>
      </c>
      <c r="D48" s="25" t="s">
        <v>20</v>
      </c>
      <c r="E48" s="24">
        <v>45914</v>
      </c>
      <c r="F48" s="24">
        <v>45923</v>
      </c>
      <c r="G48" s="25" t="s">
        <v>465</v>
      </c>
      <c r="H48" s="41" t="s">
        <v>557</v>
      </c>
      <c r="I48" s="26">
        <v>109.55</v>
      </c>
      <c r="J48" s="32" t="s">
        <v>275</v>
      </c>
      <c r="K48" s="25" t="s">
        <v>443</v>
      </c>
      <c r="L48" s="25"/>
      <c r="M48" s="41" t="s">
        <v>553</v>
      </c>
    </row>
    <row r="49" spans="1:13" ht="16.5" customHeight="1" x14ac:dyDescent="0.3">
      <c r="A49" s="28" t="s">
        <v>558</v>
      </c>
      <c r="B49" s="30" t="s">
        <v>488</v>
      </c>
      <c r="C49" s="30" t="s">
        <v>489</v>
      </c>
      <c r="D49" s="30" t="s">
        <v>34</v>
      </c>
      <c r="E49" s="29">
        <v>45946</v>
      </c>
      <c r="F49" s="29">
        <v>45965</v>
      </c>
      <c r="G49" s="30" t="s">
        <v>470</v>
      </c>
      <c r="H49" s="42" t="s">
        <v>522</v>
      </c>
      <c r="I49" s="31">
        <v>83.93</v>
      </c>
      <c r="J49" s="32" t="s">
        <v>275</v>
      </c>
      <c r="K49" s="30" t="s">
        <v>456</v>
      </c>
      <c r="L49" s="30"/>
      <c r="M49" s="42" t="s">
        <v>553</v>
      </c>
    </row>
    <row r="50" spans="1:13" ht="16.5" customHeight="1" x14ac:dyDescent="0.3">
      <c r="A50" s="23" t="s">
        <v>559</v>
      </c>
      <c r="B50" s="25" t="s">
        <v>493</v>
      </c>
      <c r="C50" s="25" t="s">
        <v>494</v>
      </c>
      <c r="D50" s="25" t="s">
        <v>25</v>
      </c>
      <c r="E50" s="24">
        <v>45965</v>
      </c>
      <c r="F50" s="24">
        <v>45975</v>
      </c>
      <c r="G50" s="25" t="s">
        <v>475</v>
      </c>
      <c r="H50" s="41" t="s">
        <v>560</v>
      </c>
      <c r="I50" s="26">
        <v>2145.86</v>
      </c>
      <c r="J50" s="32" t="s">
        <v>275</v>
      </c>
      <c r="K50" s="25" t="s">
        <v>456</v>
      </c>
      <c r="L50" s="25"/>
      <c r="M50" s="41" t="s">
        <v>553</v>
      </c>
    </row>
    <row r="51" spans="1:13" ht="16.5" customHeight="1" x14ac:dyDescent="0.3">
      <c r="A51" s="28" t="s">
        <v>561</v>
      </c>
      <c r="B51" s="30" t="s">
        <v>497</v>
      </c>
      <c r="C51" s="30" t="s">
        <v>498</v>
      </c>
      <c r="D51" s="30" t="s">
        <v>28</v>
      </c>
      <c r="E51" s="29">
        <v>45994</v>
      </c>
      <c r="F51" s="29">
        <v>46002</v>
      </c>
      <c r="G51" s="30" t="s">
        <v>480</v>
      </c>
      <c r="H51" s="42" t="s">
        <v>509</v>
      </c>
      <c r="I51" s="31">
        <v>96.27</v>
      </c>
      <c r="J51" s="32" t="s">
        <v>275</v>
      </c>
      <c r="K51" s="30" t="s">
        <v>450</v>
      </c>
      <c r="L51" s="30"/>
      <c r="M51" s="42" t="s">
        <v>553</v>
      </c>
    </row>
    <row r="52" spans="1:13" ht="16.5" customHeight="1" x14ac:dyDescent="0.3">
      <c r="A52" s="23" t="s">
        <v>562</v>
      </c>
      <c r="B52" s="25" t="s">
        <v>438</v>
      </c>
      <c r="C52" s="25" t="s">
        <v>439</v>
      </c>
      <c r="D52" s="25" t="s">
        <v>20</v>
      </c>
      <c r="E52" s="24">
        <v>45666</v>
      </c>
      <c r="F52" s="24">
        <v>45679</v>
      </c>
      <c r="G52" s="25" t="s">
        <v>485</v>
      </c>
      <c r="H52" s="41" t="s">
        <v>546</v>
      </c>
      <c r="I52" s="26">
        <v>454.64</v>
      </c>
      <c r="J52" s="32" t="s">
        <v>275</v>
      </c>
      <c r="K52" s="25" t="s">
        <v>443</v>
      </c>
      <c r="L52" s="25"/>
      <c r="M52" s="41" t="s">
        <v>553</v>
      </c>
    </row>
    <row r="53" spans="1:13" ht="16.5" customHeight="1" x14ac:dyDescent="0.3">
      <c r="A53" s="28" t="s">
        <v>563</v>
      </c>
      <c r="B53" s="30" t="s">
        <v>446</v>
      </c>
      <c r="C53" s="30" t="s">
        <v>447</v>
      </c>
      <c r="D53" s="30" t="s">
        <v>25</v>
      </c>
      <c r="E53" s="29">
        <v>45698</v>
      </c>
      <c r="F53" s="29">
        <v>45706</v>
      </c>
      <c r="G53" s="30" t="s">
        <v>490</v>
      </c>
      <c r="H53" s="42" t="s">
        <v>491</v>
      </c>
      <c r="I53" s="31">
        <v>428.81</v>
      </c>
      <c r="J53" s="32" t="s">
        <v>275</v>
      </c>
      <c r="K53" s="30" t="s">
        <v>456</v>
      </c>
      <c r="L53" s="30"/>
      <c r="M53" s="42" t="s">
        <v>553</v>
      </c>
    </row>
    <row r="54" spans="1:13" ht="16.5" customHeight="1" x14ac:dyDescent="0.3">
      <c r="A54" s="23" t="s">
        <v>564</v>
      </c>
      <c r="B54" s="25" t="s">
        <v>452</v>
      </c>
      <c r="C54" s="25" t="s">
        <v>453</v>
      </c>
      <c r="D54" s="25" t="s">
        <v>28</v>
      </c>
      <c r="E54" s="24">
        <v>45726</v>
      </c>
      <c r="F54" s="24">
        <v>45738</v>
      </c>
      <c r="G54" s="25" t="s">
        <v>440</v>
      </c>
      <c r="H54" s="41" t="s">
        <v>549</v>
      </c>
      <c r="I54" s="26">
        <v>238.17</v>
      </c>
      <c r="J54" s="32" t="s">
        <v>275</v>
      </c>
      <c r="K54" s="25" t="s">
        <v>443</v>
      </c>
      <c r="L54" s="25"/>
      <c r="M54" s="41" t="s">
        <v>553</v>
      </c>
    </row>
    <row r="55" spans="1:13" ht="16.5" customHeight="1" x14ac:dyDescent="0.3">
      <c r="A55" s="28" t="s">
        <v>565</v>
      </c>
      <c r="B55" s="30" t="s">
        <v>458</v>
      </c>
      <c r="C55" s="30" t="s">
        <v>459</v>
      </c>
      <c r="D55" s="30" t="s">
        <v>30</v>
      </c>
      <c r="E55" s="29">
        <v>45749</v>
      </c>
      <c r="F55" s="29">
        <v>45763</v>
      </c>
      <c r="G55" s="30" t="s">
        <v>448</v>
      </c>
      <c r="H55" s="42" t="s">
        <v>566</v>
      </c>
      <c r="I55" s="31">
        <v>4247.6899999999996</v>
      </c>
      <c r="J55" s="32" t="s">
        <v>275</v>
      </c>
      <c r="K55" s="30" t="s">
        <v>456</v>
      </c>
      <c r="L55" s="30"/>
      <c r="M55" s="42" t="s">
        <v>553</v>
      </c>
    </row>
    <row r="56" spans="1:13" ht="16.5" customHeight="1" x14ac:dyDescent="0.3">
      <c r="A56" s="23" t="s">
        <v>567</v>
      </c>
      <c r="B56" s="25" t="s">
        <v>463</v>
      </c>
      <c r="C56" s="25" t="s">
        <v>464</v>
      </c>
      <c r="D56" s="25" t="s">
        <v>32</v>
      </c>
      <c r="E56" s="24">
        <v>45788</v>
      </c>
      <c r="F56" s="24">
        <v>45792</v>
      </c>
      <c r="G56" s="25" t="s">
        <v>454</v>
      </c>
      <c r="H56" s="41" t="s">
        <v>535</v>
      </c>
      <c r="I56" s="26">
        <v>668.22</v>
      </c>
      <c r="J56" s="32" t="s">
        <v>275</v>
      </c>
      <c r="K56" s="25" t="s">
        <v>456</v>
      </c>
      <c r="L56" s="25"/>
      <c r="M56" s="41" t="s">
        <v>553</v>
      </c>
    </row>
    <row r="57" spans="1:13" ht="16.5" customHeight="1" x14ac:dyDescent="0.3">
      <c r="A57" s="28" t="s">
        <v>568</v>
      </c>
      <c r="B57" s="30" t="s">
        <v>468</v>
      </c>
      <c r="C57" s="30" t="s">
        <v>469</v>
      </c>
      <c r="D57" s="30" t="s">
        <v>34</v>
      </c>
      <c r="E57" s="29">
        <v>45813</v>
      </c>
      <c r="F57" s="29">
        <v>45816</v>
      </c>
      <c r="G57" s="30" t="s">
        <v>460</v>
      </c>
      <c r="H57" s="42" t="s">
        <v>569</v>
      </c>
      <c r="I57" s="31">
        <v>248.21</v>
      </c>
      <c r="J57" s="32" t="s">
        <v>275</v>
      </c>
      <c r="K57" s="30" t="s">
        <v>450</v>
      </c>
      <c r="L57" s="30"/>
      <c r="M57" s="42" t="s">
        <v>553</v>
      </c>
    </row>
    <row r="58" spans="1:13" ht="16.5" customHeight="1" x14ac:dyDescent="0.3">
      <c r="A58" s="23" t="s">
        <v>570</v>
      </c>
      <c r="B58" s="25" t="s">
        <v>473</v>
      </c>
      <c r="C58" s="25" t="s">
        <v>474</v>
      </c>
      <c r="D58" s="25" t="s">
        <v>36</v>
      </c>
      <c r="E58" s="24">
        <v>45855</v>
      </c>
      <c r="F58" s="24">
        <v>45865</v>
      </c>
      <c r="G58" s="25" t="s">
        <v>465</v>
      </c>
      <c r="H58" s="41" t="s">
        <v>504</v>
      </c>
      <c r="I58" s="26">
        <v>119.67</v>
      </c>
      <c r="J58" s="32" t="s">
        <v>275</v>
      </c>
      <c r="K58" s="25" t="s">
        <v>443</v>
      </c>
      <c r="L58" s="25"/>
      <c r="M58" s="41" t="s">
        <v>553</v>
      </c>
    </row>
    <row r="59" spans="1:13" ht="16.5" customHeight="1" x14ac:dyDescent="0.3">
      <c r="A59" s="28" t="s">
        <v>571</v>
      </c>
      <c r="B59" s="30" t="s">
        <v>478</v>
      </c>
      <c r="C59" s="30" t="s">
        <v>479</v>
      </c>
      <c r="D59" s="30" t="s">
        <v>38</v>
      </c>
      <c r="E59" s="29">
        <v>45877</v>
      </c>
      <c r="F59" s="29">
        <v>45888</v>
      </c>
      <c r="G59" s="30" t="s">
        <v>470</v>
      </c>
      <c r="H59" s="42" t="s">
        <v>572</v>
      </c>
      <c r="I59" s="31">
        <v>135.85</v>
      </c>
      <c r="J59" s="32" t="s">
        <v>275</v>
      </c>
      <c r="K59" s="30" t="s">
        <v>456</v>
      </c>
      <c r="L59" s="30"/>
      <c r="M59" s="42" t="s">
        <v>553</v>
      </c>
    </row>
    <row r="60" spans="1:13" ht="16.5" customHeight="1" x14ac:dyDescent="0.3">
      <c r="A60" s="23" t="s">
        <v>573</v>
      </c>
      <c r="B60" s="25" t="s">
        <v>483</v>
      </c>
      <c r="C60" s="25" t="s">
        <v>484</v>
      </c>
      <c r="D60" s="25" t="s">
        <v>20</v>
      </c>
      <c r="E60" s="24">
        <v>45901</v>
      </c>
      <c r="F60" s="24">
        <v>45910</v>
      </c>
      <c r="G60" s="25" t="s">
        <v>475</v>
      </c>
      <c r="H60" s="41" t="s">
        <v>476</v>
      </c>
      <c r="I60" s="26">
        <v>1891.69</v>
      </c>
      <c r="J60" s="32" t="s">
        <v>275</v>
      </c>
      <c r="K60" s="25" t="s">
        <v>443</v>
      </c>
      <c r="L60" s="25"/>
      <c r="M60" s="41" t="s">
        <v>553</v>
      </c>
    </row>
    <row r="61" spans="1:13" ht="16.5" customHeight="1" x14ac:dyDescent="0.3">
      <c r="A61" s="28" t="s">
        <v>574</v>
      </c>
      <c r="B61" s="30" t="s">
        <v>488</v>
      </c>
      <c r="C61" s="30" t="s">
        <v>489</v>
      </c>
      <c r="D61" s="30" t="s">
        <v>34</v>
      </c>
      <c r="E61" s="29">
        <v>45939</v>
      </c>
      <c r="F61" s="29">
        <v>45947</v>
      </c>
      <c r="G61" s="30" t="s">
        <v>480</v>
      </c>
      <c r="H61" s="42" t="s">
        <v>544</v>
      </c>
      <c r="I61" s="31">
        <v>30.63</v>
      </c>
      <c r="J61" s="32" t="s">
        <v>275</v>
      </c>
      <c r="K61" s="30" t="s">
        <v>456</v>
      </c>
      <c r="L61" s="30"/>
      <c r="M61" s="42" t="s">
        <v>553</v>
      </c>
    </row>
    <row r="62" spans="1:13" ht="16.5" customHeight="1" x14ac:dyDescent="0.3">
      <c r="A62" s="23" t="s">
        <v>575</v>
      </c>
      <c r="B62" s="25" t="s">
        <v>493</v>
      </c>
      <c r="C62" s="25" t="s">
        <v>494</v>
      </c>
      <c r="D62" s="25" t="s">
        <v>25</v>
      </c>
      <c r="E62" s="24">
        <v>45963</v>
      </c>
      <c r="F62" s="24">
        <v>45982</v>
      </c>
      <c r="G62" s="25" t="s">
        <v>485</v>
      </c>
      <c r="H62" s="41" t="s">
        <v>528</v>
      </c>
      <c r="I62" s="26">
        <v>214.79</v>
      </c>
      <c r="J62" s="32" t="s">
        <v>275</v>
      </c>
      <c r="K62" s="25" t="s">
        <v>456</v>
      </c>
      <c r="L62" s="25"/>
      <c r="M62" s="41" t="s">
        <v>553</v>
      </c>
    </row>
    <row r="63" spans="1:13" ht="16.5" customHeight="1" x14ac:dyDescent="0.3">
      <c r="A63" s="28" t="s">
        <v>576</v>
      </c>
      <c r="B63" s="30" t="s">
        <v>497</v>
      </c>
      <c r="C63" s="30" t="s">
        <v>498</v>
      </c>
      <c r="D63" s="30" t="s">
        <v>28</v>
      </c>
      <c r="E63" s="29">
        <v>45999</v>
      </c>
      <c r="F63" s="29">
        <v>46012</v>
      </c>
      <c r="G63" s="30" t="s">
        <v>490</v>
      </c>
      <c r="H63" s="42" t="s">
        <v>577</v>
      </c>
      <c r="I63" s="31">
        <v>255.61</v>
      </c>
      <c r="J63" s="32" t="s">
        <v>275</v>
      </c>
      <c r="K63" s="30" t="s">
        <v>456</v>
      </c>
      <c r="L63" s="30"/>
      <c r="M63" s="42" t="s">
        <v>553</v>
      </c>
    </row>
    <row r="64" spans="1:13" ht="16.5" customHeight="1" x14ac:dyDescent="0.3">
      <c r="A64" s="23" t="s">
        <v>578</v>
      </c>
      <c r="B64" s="25" t="s">
        <v>438</v>
      </c>
      <c r="C64" s="25" t="s">
        <v>439</v>
      </c>
      <c r="D64" s="25" t="s">
        <v>20</v>
      </c>
      <c r="E64" s="24">
        <v>45660</v>
      </c>
      <c r="F64" s="24">
        <v>45674</v>
      </c>
      <c r="G64" s="25" t="s">
        <v>440</v>
      </c>
      <c r="H64" s="41" t="s">
        <v>579</v>
      </c>
      <c r="I64" s="26">
        <v>166.07</v>
      </c>
      <c r="J64" s="34" t="s">
        <v>580</v>
      </c>
      <c r="K64" s="25" t="s">
        <v>276</v>
      </c>
      <c r="L64" s="25"/>
      <c r="M64" s="41" t="s">
        <v>581</v>
      </c>
    </row>
    <row r="65" spans="1:13" ht="16.5" customHeight="1" x14ac:dyDescent="0.3">
      <c r="A65" s="28" t="s">
        <v>582</v>
      </c>
      <c r="B65" s="30" t="s">
        <v>446</v>
      </c>
      <c r="C65" s="30" t="s">
        <v>447</v>
      </c>
      <c r="D65" s="30" t="s">
        <v>25</v>
      </c>
      <c r="E65" s="29">
        <v>45707</v>
      </c>
      <c r="F65" s="29">
        <v>45725</v>
      </c>
      <c r="G65" s="30" t="s">
        <v>448</v>
      </c>
      <c r="H65" s="42" t="s">
        <v>566</v>
      </c>
      <c r="I65" s="31">
        <v>2770.81</v>
      </c>
      <c r="J65" s="34" t="s">
        <v>580</v>
      </c>
      <c r="K65" s="30" t="s">
        <v>276</v>
      </c>
      <c r="L65" s="30"/>
      <c r="M65" s="42" t="s">
        <v>581</v>
      </c>
    </row>
    <row r="66" spans="1:13" ht="16.5" customHeight="1" x14ac:dyDescent="0.3">
      <c r="A66" s="23" t="s">
        <v>583</v>
      </c>
      <c r="B66" s="25" t="s">
        <v>452</v>
      </c>
      <c r="C66" s="25" t="s">
        <v>453</v>
      </c>
      <c r="D66" s="25" t="s">
        <v>28</v>
      </c>
      <c r="E66" s="24">
        <v>45723</v>
      </c>
      <c r="F66" s="24">
        <v>45731</v>
      </c>
      <c r="G66" s="25" t="s">
        <v>454</v>
      </c>
      <c r="H66" s="41" t="s">
        <v>584</v>
      </c>
      <c r="I66" s="26">
        <v>770.52</v>
      </c>
      <c r="J66" s="34" t="s">
        <v>580</v>
      </c>
      <c r="K66" s="25" t="s">
        <v>276</v>
      </c>
      <c r="L66" s="25"/>
      <c r="M66" s="41" t="s">
        <v>581</v>
      </c>
    </row>
    <row r="67" spans="1:13" ht="16.5" customHeight="1" x14ac:dyDescent="0.3">
      <c r="A67" s="28" t="s">
        <v>585</v>
      </c>
      <c r="B67" s="30" t="s">
        <v>458</v>
      </c>
      <c r="C67" s="30" t="s">
        <v>459</v>
      </c>
      <c r="D67" s="30" t="s">
        <v>30</v>
      </c>
      <c r="E67" s="29">
        <v>45755</v>
      </c>
      <c r="F67" s="29">
        <v>45763</v>
      </c>
      <c r="G67" s="30" t="s">
        <v>460</v>
      </c>
      <c r="H67" s="42" t="s">
        <v>569</v>
      </c>
      <c r="I67" s="31">
        <v>91.16</v>
      </c>
      <c r="J67" s="34" t="s">
        <v>580</v>
      </c>
      <c r="K67" s="30" t="s">
        <v>276</v>
      </c>
      <c r="L67" s="30"/>
      <c r="M67" s="42" t="s">
        <v>581</v>
      </c>
    </row>
    <row r="68" spans="1:13" ht="16.5" customHeight="1" x14ac:dyDescent="0.3">
      <c r="A68" s="23" t="s">
        <v>586</v>
      </c>
      <c r="B68" s="25" t="s">
        <v>463</v>
      </c>
      <c r="C68" s="25" t="s">
        <v>464</v>
      </c>
      <c r="D68" s="25" t="s">
        <v>32</v>
      </c>
      <c r="E68" s="24">
        <v>45794</v>
      </c>
      <c r="F68" s="24">
        <v>45813</v>
      </c>
      <c r="G68" s="25" t="s">
        <v>465</v>
      </c>
      <c r="H68" s="41" t="s">
        <v>587</v>
      </c>
      <c r="I68" s="26">
        <v>89.39</v>
      </c>
      <c r="J68" s="34" t="s">
        <v>580</v>
      </c>
      <c r="K68" s="25" t="s">
        <v>276</v>
      </c>
      <c r="L68" s="25"/>
      <c r="M68" s="41" t="s">
        <v>581</v>
      </c>
    </row>
    <row r="69" spans="1:13" ht="16.5" customHeight="1" x14ac:dyDescent="0.3">
      <c r="A69" s="28" t="s">
        <v>588</v>
      </c>
      <c r="B69" s="30" t="s">
        <v>468</v>
      </c>
      <c r="C69" s="30" t="s">
        <v>469</v>
      </c>
      <c r="D69" s="30" t="s">
        <v>34</v>
      </c>
      <c r="E69" s="29">
        <v>45825</v>
      </c>
      <c r="F69" s="29">
        <v>45835</v>
      </c>
      <c r="G69" s="30" t="s">
        <v>470</v>
      </c>
      <c r="H69" s="42" t="s">
        <v>522</v>
      </c>
      <c r="I69" s="31">
        <v>125.83</v>
      </c>
      <c r="J69" s="34" t="s">
        <v>580</v>
      </c>
      <c r="K69" s="30" t="s">
        <v>276</v>
      </c>
      <c r="L69" s="30"/>
      <c r="M69" s="42" t="s">
        <v>581</v>
      </c>
    </row>
    <row r="70" spans="1:13" ht="16.5" customHeight="1" x14ac:dyDescent="0.3">
      <c r="A70" s="23" t="s">
        <v>589</v>
      </c>
      <c r="B70" s="25" t="s">
        <v>473</v>
      </c>
      <c r="C70" s="25" t="s">
        <v>474</v>
      </c>
      <c r="D70" s="25" t="s">
        <v>36</v>
      </c>
      <c r="E70" s="24">
        <v>45856</v>
      </c>
      <c r="F70" s="24">
        <v>45861</v>
      </c>
      <c r="G70" s="25" t="s">
        <v>475</v>
      </c>
      <c r="H70" s="41" t="s">
        <v>476</v>
      </c>
      <c r="I70" s="26">
        <v>1143.8900000000001</v>
      </c>
      <c r="J70" s="34" t="s">
        <v>580</v>
      </c>
      <c r="K70" s="25" t="s">
        <v>276</v>
      </c>
      <c r="L70" s="25"/>
      <c r="M70" s="41" t="s">
        <v>581</v>
      </c>
    </row>
    <row r="71" spans="1:13" ht="16.5" customHeight="1" x14ac:dyDescent="0.3">
      <c r="A71" s="28" t="s">
        <v>590</v>
      </c>
      <c r="B71" s="30" t="s">
        <v>478</v>
      </c>
      <c r="C71" s="30" t="s">
        <v>479</v>
      </c>
      <c r="D71" s="30" t="s">
        <v>38</v>
      </c>
      <c r="E71" s="29">
        <v>45888</v>
      </c>
      <c r="F71" s="29">
        <v>45901</v>
      </c>
      <c r="G71" s="30" t="s">
        <v>480</v>
      </c>
      <c r="H71" s="42" t="s">
        <v>591</v>
      </c>
      <c r="I71" s="31">
        <v>25.19</v>
      </c>
      <c r="J71" s="34" t="s">
        <v>580</v>
      </c>
      <c r="K71" s="30" t="s">
        <v>276</v>
      </c>
      <c r="L71" s="30"/>
      <c r="M71" s="42" t="s">
        <v>581</v>
      </c>
    </row>
    <row r="72" spans="1:13" ht="16.5" customHeight="1" x14ac:dyDescent="0.3">
      <c r="A72" s="23" t="s">
        <v>592</v>
      </c>
      <c r="B72" s="25" t="s">
        <v>483</v>
      </c>
      <c r="C72" s="25" t="s">
        <v>484</v>
      </c>
      <c r="D72" s="25" t="s">
        <v>20</v>
      </c>
      <c r="E72" s="24">
        <v>45921</v>
      </c>
      <c r="F72" s="24">
        <v>45924</v>
      </c>
      <c r="G72" s="25" t="s">
        <v>485</v>
      </c>
      <c r="H72" s="41" t="s">
        <v>486</v>
      </c>
      <c r="I72" s="26">
        <v>209.21</v>
      </c>
      <c r="J72" s="34" t="s">
        <v>580</v>
      </c>
      <c r="K72" s="25" t="s">
        <v>276</v>
      </c>
      <c r="L72" s="25"/>
      <c r="M72" s="41" t="s">
        <v>581</v>
      </c>
    </row>
    <row r="73" spans="1:13" ht="16.5" customHeight="1" x14ac:dyDescent="0.3">
      <c r="A73" s="28" t="s">
        <v>593</v>
      </c>
      <c r="B73" s="30" t="s">
        <v>488</v>
      </c>
      <c r="C73" s="30" t="s">
        <v>489</v>
      </c>
      <c r="D73" s="30" t="s">
        <v>34</v>
      </c>
      <c r="E73" s="29">
        <v>45937</v>
      </c>
      <c r="F73" s="29">
        <v>45941</v>
      </c>
      <c r="G73" s="30" t="s">
        <v>490</v>
      </c>
      <c r="H73" s="42" t="s">
        <v>594</v>
      </c>
      <c r="I73" s="31">
        <v>129.6</v>
      </c>
      <c r="J73" s="34" t="s">
        <v>580</v>
      </c>
      <c r="K73" s="30" t="s">
        <v>276</v>
      </c>
      <c r="L73" s="30"/>
      <c r="M73" s="42" t="s">
        <v>581</v>
      </c>
    </row>
    <row r="74" spans="1:13" ht="16.5" customHeight="1" x14ac:dyDescent="0.3">
      <c r="A74" s="23" t="s">
        <v>595</v>
      </c>
      <c r="B74" s="25" t="s">
        <v>493</v>
      </c>
      <c r="C74" s="25" t="s">
        <v>494</v>
      </c>
      <c r="D74" s="25" t="s">
        <v>25</v>
      </c>
      <c r="E74" s="24">
        <v>45983</v>
      </c>
      <c r="F74" s="24">
        <v>45994</v>
      </c>
      <c r="G74" s="25" t="s">
        <v>440</v>
      </c>
      <c r="H74" s="41" t="s">
        <v>549</v>
      </c>
      <c r="I74" s="26">
        <v>152.61000000000001</v>
      </c>
      <c r="J74" s="34" t="s">
        <v>580</v>
      </c>
      <c r="K74" s="25" t="s">
        <v>276</v>
      </c>
      <c r="L74" s="25"/>
      <c r="M74" s="41" t="s">
        <v>581</v>
      </c>
    </row>
    <row r="75" spans="1:13" ht="16.5" customHeight="1" x14ac:dyDescent="0.3">
      <c r="A75" s="28" t="s">
        <v>596</v>
      </c>
      <c r="B75" s="30" t="s">
        <v>497</v>
      </c>
      <c r="C75" s="30" t="s">
        <v>498</v>
      </c>
      <c r="D75" s="30" t="s">
        <v>28</v>
      </c>
      <c r="E75" s="29">
        <v>46003</v>
      </c>
      <c r="F75" s="29">
        <v>46009</v>
      </c>
      <c r="G75" s="30" t="s">
        <v>448</v>
      </c>
      <c r="H75" s="42" t="s">
        <v>566</v>
      </c>
      <c r="I75" s="31">
        <v>2601.2600000000002</v>
      </c>
      <c r="J75" s="34" t="s">
        <v>580</v>
      </c>
      <c r="K75" s="30" t="s">
        <v>276</v>
      </c>
      <c r="L75" s="30"/>
      <c r="M75" s="42" t="s">
        <v>581</v>
      </c>
    </row>
    <row r="76" spans="1:13" ht="16.5" customHeight="1" x14ac:dyDescent="0.3">
      <c r="A76" s="23" t="s">
        <v>597</v>
      </c>
      <c r="B76" s="25" t="s">
        <v>438</v>
      </c>
      <c r="C76" s="25" t="s">
        <v>439</v>
      </c>
      <c r="D76" s="25" t="s">
        <v>20</v>
      </c>
      <c r="E76" s="24">
        <v>45680</v>
      </c>
      <c r="F76" s="24">
        <v>45692</v>
      </c>
      <c r="G76" s="25" t="s">
        <v>454</v>
      </c>
      <c r="H76" s="41" t="s">
        <v>598</v>
      </c>
      <c r="I76" s="26">
        <v>338.49</v>
      </c>
      <c r="J76" s="43" t="s">
        <v>363</v>
      </c>
      <c r="K76" s="25" t="s">
        <v>443</v>
      </c>
      <c r="L76" s="25"/>
      <c r="M76" s="41" t="s">
        <v>599</v>
      </c>
    </row>
    <row r="77" spans="1:13" ht="16.5" customHeight="1" x14ac:dyDescent="0.3">
      <c r="A77" s="28" t="s">
        <v>600</v>
      </c>
      <c r="B77" s="30" t="s">
        <v>446</v>
      </c>
      <c r="C77" s="30" t="s">
        <v>447</v>
      </c>
      <c r="D77" s="30" t="s">
        <v>25</v>
      </c>
      <c r="E77" s="29">
        <v>45689</v>
      </c>
      <c r="F77" s="29">
        <v>45703</v>
      </c>
      <c r="G77" s="30" t="s">
        <v>460</v>
      </c>
      <c r="H77" s="42" t="s">
        <v>537</v>
      </c>
      <c r="I77" s="31">
        <v>212.27</v>
      </c>
      <c r="J77" s="43" t="s">
        <v>363</v>
      </c>
      <c r="K77" s="30" t="s">
        <v>450</v>
      </c>
      <c r="L77" s="30"/>
      <c r="M77" s="42" t="s">
        <v>599</v>
      </c>
    </row>
    <row r="78" spans="1:13" ht="16.5" customHeight="1" x14ac:dyDescent="0.3">
      <c r="A78" s="23" t="s">
        <v>601</v>
      </c>
      <c r="B78" s="25" t="s">
        <v>452</v>
      </c>
      <c r="C78" s="25" t="s">
        <v>453</v>
      </c>
      <c r="D78" s="25" t="s">
        <v>28</v>
      </c>
      <c r="E78" s="24">
        <v>45717</v>
      </c>
      <c r="F78" s="24">
        <v>45731</v>
      </c>
      <c r="G78" s="25" t="s">
        <v>465</v>
      </c>
      <c r="H78" s="41" t="s">
        <v>557</v>
      </c>
      <c r="I78" s="26">
        <v>89.8</v>
      </c>
      <c r="J78" s="43" t="s">
        <v>363</v>
      </c>
      <c r="K78" s="25" t="s">
        <v>443</v>
      </c>
      <c r="L78" s="25"/>
      <c r="M78" s="41" t="s">
        <v>599</v>
      </c>
    </row>
    <row r="79" spans="1:13" ht="16.5" customHeight="1" x14ac:dyDescent="0.3">
      <c r="A79" s="28" t="s">
        <v>602</v>
      </c>
      <c r="B79" s="30" t="s">
        <v>458</v>
      </c>
      <c r="C79" s="30" t="s">
        <v>459</v>
      </c>
      <c r="D79" s="30" t="s">
        <v>30</v>
      </c>
      <c r="E79" s="29">
        <v>45772</v>
      </c>
      <c r="F79" s="29">
        <v>45777</v>
      </c>
      <c r="G79" s="30" t="s">
        <v>470</v>
      </c>
      <c r="H79" s="42" t="s">
        <v>471</v>
      </c>
      <c r="I79" s="31">
        <v>69.87</v>
      </c>
      <c r="J79" s="43" t="s">
        <v>363</v>
      </c>
      <c r="K79" s="30" t="s">
        <v>443</v>
      </c>
      <c r="L79" s="30"/>
      <c r="M79" s="42" t="s">
        <v>599</v>
      </c>
    </row>
    <row r="80" spans="1:13" ht="16.5" customHeight="1" x14ac:dyDescent="0.3">
      <c r="A80" s="23" t="s">
        <v>603</v>
      </c>
      <c r="B80" s="25" t="s">
        <v>463</v>
      </c>
      <c r="C80" s="25" t="s">
        <v>464</v>
      </c>
      <c r="D80" s="25" t="s">
        <v>32</v>
      </c>
      <c r="E80" s="24">
        <v>45788</v>
      </c>
      <c r="F80" s="24">
        <v>45799</v>
      </c>
      <c r="G80" s="25" t="s">
        <v>475</v>
      </c>
      <c r="H80" s="41" t="s">
        <v>604</v>
      </c>
      <c r="I80" s="26">
        <v>1930.28</v>
      </c>
      <c r="J80" s="43" t="s">
        <v>363</v>
      </c>
      <c r="K80" s="25" t="s">
        <v>450</v>
      </c>
      <c r="L80" s="25"/>
      <c r="M80" s="41" t="s">
        <v>599</v>
      </c>
    </row>
    <row r="81" spans="1:13" ht="16.5" customHeight="1" x14ac:dyDescent="0.3">
      <c r="A81" s="28" t="s">
        <v>605</v>
      </c>
      <c r="B81" s="30" t="s">
        <v>468</v>
      </c>
      <c r="C81" s="30" t="s">
        <v>469</v>
      </c>
      <c r="D81" s="30" t="s">
        <v>34</v>
      </c>
      <c r="E81" s="29">
        <v>45812</v>
      </c>
      <c r="F81" s="29">
        <v>45828</v>
      </c>
      <c r="G81" s="30" t="s">
        <v>480</v>
      </c>
      <c r="H81" s="42" t="s">
        <v>606</v>
      </c>
      <c r="I81" s="31">
        <v>67.2</v>
      </c>
      <c r="J81" s="43" t="s">
        <v>363</v>
      </c>
      <c r="K81" s="30" t="s">
        <v>456</v>
      </c>
      <c r="L81" s="30"/>
      <c r="M81" s="42" t="s">
        <v>599</v>
      </c>
    </row>
    <row r="82" spans="1:13" ht="16.5" customHeight="1" x14ac:dyDescent="0.3">
      <c r="A82" s="23" t="s">
        <v>607</v>
      </c>
      <c r="B82" s="25" t="s">
        <v>473</v>
      </c>
      <c r="C82" s="25" t="s">
        <v>474</v>
      </c>
      <c r="D82" s="25" t="s">
        <v>36</v>
      </c>
      <c r="E82" s="24">
        <v>45851</v>
      </c>
      <c r="F82" s="24">
        <v>45871</v>
      </c>
      <c r="G82" s="25" t="s">
        <v>485</v>
      </c>
      <c r="H82" s="41" t="s">
        <v>608</v>
      </c>
      <c r="I82" s="26">
        <v>333.73</v>
      </c>
      <c r="J82" s="43" t="s">
        <v>363</v>
      </c>
      <c r="K82" s="25" t="s">
        <v>450</v>
      </c>
      <c r="L82" s="25"/>
      <c r="M82" s="41" t="s">
        <v>599</v>
      </c>
    </row>
    <row r="83" spans="1:13" ht="16.5" customHeight="1" x14ac:dyDescent="0.3">
      <c r="A83" s="28" t="s">
        <v>609</v>
      </c>
      <c r="B83" s="30" t="s">
        <v>478</v>
      </c>
      <c r="C83" s="30" t="s">
        <v>479</v>
      </c>
      <c r="D83" s="30" t="s">
        <v>38</v>
      </c>
      <c r="E83" s="29">
        <v>45873</v>
      </c>
      <c r="F83" s="29">
        <v>45884</v>
      </c>
      <c r="G83" s="30" t="s">
        <v>490</v>
      </c>
      <c r="H83" s="42" t="s">
        <v>530</v>
      </c>
      <c r="I83" s="31">
        <v>77.7</v>
      </c>
      <c r="J83" s="43" t="s">
        <v>363</v>
      </c>
      <c r="K83" s="30" t="s">
        <v>443</v>
      </c>
      <c r="L83" s="30"/>
      <c r="M83" s="42" t="s">
        <v>599</v>
      </c>
    </row>
    <row r="84" spans="1:13" ht="16.5" customHeight="1" x14ac:dyDescent="0.3">
      <c r="A84" s="23" t="s">
        <v>610</v>
      </c>
      <c r="B84" s="25" t="s">
        <v>483</v>
      </c>
      <c r="C84" s="25" t="s">
        <v>484</v>
      </c>
      <c r="D84" s="25" t="s">
        <v>20</v>
      </c>
      <c r="E84" s="24">
        <v>45908</v>
      </c>
      <c r="F84" s="24">
        <v>45919</v>
      </c>
      <c r="G84" s="25" t="s">
        <v>440</v>
      </c>
      <c r="H84" s="41" t="s">
        <v>611</v>
      </c>
      <c r="I84" s="26">
        <v>180.26</v>
      </c>
      <c r="J84" s="36" t="s">
        <v>409</v>
      </c>
      <c r="K84" s="25" t="s">
        <v>450</v>
      </c>
      <c r="L84" s="25"/>
      <c r="M84" s="41" t="s">
        <v>612</v>
      </c>
    </row>
    <row r="85" spans="1:13" ht="16.5" customHeight="1" x14ac:dyDescent="0.3">
      <c r="A85" s="28" t="s">
        <v>613</v>
      </c>
      <c r="B85" s="30" t="s">
        <v>488</v>
      </c>
      <c r="C85" s="30" t="s">
        <v>489</v>
      </c>
      <c r="D85" s="30" t="s">
        <v>34</v>
      </c>
      <c r="E85" s="29">
        <v>45950</v>
      </c>
      <c r="F85" s="29">
        <v>45960</v>
      </c>
      <c r="G85" s="30" t="s">
        <v>448</v>
      </c>
      <c r="H85" s="42" t="s">
        <v>566</v>
      </c>
      <c r="I85" s="31">
        <v>3594.56</v>
      </c>
      <c r="J85" s="36" t="s">
        <v>409</v>
      </c>
      <c r="K85" s="30" t="s">
        <v>456</v>
      </c>
      <c r="L85" s="30"/>
      <c r="M85" s="42" t="s">
        <v>612</v>
      </c>
    </row>
    <row r="86" spans="1:13" ht="16.5" customHeight="1" x14ac:dyDescent="0.3">
      <c r="A86" s="23" t="s">
        <v>614</v>
      </c>
      <c r="B86" s="25" t="s">
        <v>493</v>
      </c>
      <c r="C86" s="25" t="s">
        <v>494</v>
      </c>
      <c r="D86" s="25" t="s">
        <v>25</v>
      </c>
      <c r="E86" s="24">
        <v>45962</v>
      </c>
      <c r="F86" s="24">
        <v>45973</v>
      </c>
      <c r="G86" s="25" t="s">
        <v>454</v>
      </c>
      <c r="H86" s="41" t="s">
        <v>500</v>
      </c>
      <c r="I86" s="26">
        <v>277.56</v>
      </c>
      <c r="J86" s="36" t="s">
        <v>409</v>
      </c>
      <c r="K86" s="25" t="s">
        <v>443</v>
      </c>
      <c r="L86" s="25"/>
      <c r="M86" s="41" t="s">
        <v>612</v>
      </c>
    </row>
    <row r="87" spans="1:13" ht="16.5" customHeight="1" x14ac:dyDescent="0.3">
      <c r="A87" s="28" t="s">
        <v>615</v>
      </c>
      <c r="B87" s="30" t="s">
        <v>497</v>
      </c>
      <c r="C87" s="30" t="s">
        <v>498</v>
      </c>
      <c r="D87" s="30" t="s">
        <v>28</v>
      </c>
      <c r="E87" s="29">
        <v>46001</v>
      </c>
      <c r="F87" s="29">
        <v>46019</v>
      </c>
      <c r="G87" s="30" t="s">
        <v>460</v>
      </c>
      <c r="H87" s="42" t="s">
        <v>569</v>
      </c>
      <c r="I87" s="31">
        <v>162.1</v>
      </c>
      <c r="J87" s="36" t="s">
        <v>409</v>
      </c>
      <c r="K87" s="30" t="s">
        <v>450</v>
      </c>
      <c r="L87" s="30"/>
      <c r="M87" s="42" t="s">
        <v>612</v>
      </c>
    </row>
    <row r="88" spans="1:13" ht="16.5" customHeight="1" x14ac:dyDescent="0.3">
      <c r="A88" s="23" t="s">
        <v>616</v>
      </c>
      <c r="B88" s="25" t="s">
        <v>438</v>
      </c>
      <c r="C88" s="25" t="s">
        <v>439</v>
      </c>
      <c r="D88" s="25" t="s">
        <v>20</v>
      </c>
      <c r="E88" s="24">
        <v>45674</v>
      </c>
      <c r="F88" s="24">
        <v>45684</v>
      </c>
      <c r="G88" s="25" t="s">
        <v>465</v>
      </c>
      <c r="H88" s="41" t="s">
        <v>617</v>
      </c>
      <c r="I88" s="26">
        <v>116.65</v>
      </c>
      <c r="J88" s="36" t="s">
        <v>409</v>
      </c>
      <c r="K88" s="25" t="s">
        <v>450</v>
      </c>
      <c r="L88" s="25"/>
      <c r="M88" s="41" t="s">
        <v>612</v>
      </c>
    </row>
    <row r="89" spans="1:13" ht="19.5" customHeight="1" x14ac:dyDescent="0.3">
      <c r="A89" s="38" t="s">
        <v>618</v>
      </c>
      <c r="B89" s="38"/>
      <c r="C89" s="38"/>
      <c r="D89" s="38"/>
      <c r="E89" s="38"/>
      <c r="F89" s="38"/>
      <c r="G89" s="38"/>
      <c r="H89" s="38"/>
      <c r="I89" s="39">
        <f>SUM(I4:I88)</f>
        <v>61390.359999999986</v>
      </c>
      <c r="J89" s="38"/>
      <c r="K89" s="38"/>
      <c r="L89" s="38"/>
      <c r="M89" s="38"/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32"/>
  <sheetViews>
    <sheetView showGridLines="0" zoomScaleNormal="100" workbookViewId="0">
      <pane ySplit="2" topLeftCell="A3" activePane="bottomLeft" state="frozen"/>
      <selection pane="bottomLeft" sqref="A1:H1"/>
    </sheetView>
  </sheetViews>
  <sheetFormatPr defaultColWidth="8.6640625" defaultRowHeight="14.4" x14ac:dyDescent="0.3"/>
  <cols>
    <col min="1" max="4" width="14" customWidth="1"/>
    <col min="5" max="5" width="10" customWidth="1"/>
    <col min="6" max="7" width="16" customWidth="1"/>
    <col min="8" max="8" width="28" customWidth="1"/>
  </cols>
  <sheetData>
    <row r="1" spans="1:8" ht="24" customHeight="1" x14ac:dyDescent="0.3">
      <c r="A1" s="73" t="s">
        <v>619</v>
      </c>
      <c r="B1" s="73"/>
      <c r="C1" s="73"/>
      <c r="D1" s="73"/>
      <c r="E1" s="73"/>
      <c r="F1" s="73"/>
      <c r="G1" s="73"/>
      <c r="H1" s="73"/>
    </row>
    <row r="2" spans="1:8" ht="19.5" customHeight="1" x14ac:dyDescent="0.3">
      <c r="A2" s="44" t="s">
        <v>620</v>
      </c>
      <c r="B2" s="44" t="s">
        <v>621</v>
      </c>
      <c r="C2" s="44" t="s">
        <v>622</v>
      </c>
      <c r="D2" s="44" t="s">
        <v>623</v>
      </c>
      <c r="E2" s="44" t="s">
        <v>624</v>
      </c>
      <c r="F2" s="44" t="s">
        <v>625</v>
      </c>
      <c r="G2" s="44" t="s">
        <v>626</v>
      </c>
      <c r="H2" s="44" t="s">
        <v>627</v>
      </c>
    </row>
    <row r="3" spans="1:8" ht="15" customHeight="1" x14ac:dyDescent="0.3">
      <c r="A3" s="45">
        <v>45658</v>
      </c>
      <c r="B3" s="46" t="s">
        <v>628</v>
      </c>
      <c r="C3" s="46" t="s">
        <v>629</v>
      </c>
      <c r="D3" s="46">
        <v>1</v>
      </c>
      <c r="E3" s="46" t="s">
        <v>630</v>
      </c>
      <c r="F3" s="46" t="s">
        <v>631</v>
      </c>
      <c r="G3" s="46" t="s">
        <v>632</v>
      </c>
      <c r="H3" s="47" t="s">
        <v>633</v>
      </c>
    </row>
    <row r="4" spans="1:8" ht="15" customHeight="1" x14ac:dyDescent="0.3">
      <c r="A4" s="48">
        <v>45659</v>
      </c>
      <c r="B4" s="49" t="s">
        <v>634</v>
      </c>
      <c r="C4" s="49" t="s">
        <v>629</v>
      </c>
      <c r="D4" s="49">
        <v>1</v>
      </c>
      <c r="E4" s="49" t="s">
        <v>630</v>
      </c>
      <c r="F4" s="49" t="s">
        <v>631</v>
      </c>
      <c r="G4" s="49" t="s">
        <v>635</v>
      </c>
      <c r="H4" s="50"/>
    </row>
    <row r="5" spans="1:8" ht="15" customHeight="1" x14ac:dyDescent="0.3">
      <c r="A5" s="48">
        <v>45660</v>
      </c>
      <c r="B5" s="49" t="s">
        <v>636</v>
      </c>
      <c r="C5" s="49" t="s">
        <v>629</v>
      </c>
      <c r="D5" s="49">
        <v>1</v>
      </c>
      <c r="E5" s="49" t="s">
        <v>630</v>
      </c>
      <c r="F5" s="49" t="s">
        <v>631</v>
      </c>
      <c r="G5" s="49" t="s">
        <v>635</v>
      </c>
      <c r="H5" s="50"/>
    </row>
    <row r="6" spans="1:8" ht="15" customHeight="1" x14ac:dyDescent="0.3">
      <c r="A6" s="51">
        <v>45661</v>
      </c>
      <c r="B6" s="52" t="s">
        <v>637</v>
      </c>
      <c r="C6" s="52" t="s">
        <v>629</v>
      </c>
      <c r="D6" s="52">
        <v>1</v>
      </c>
      <c r="E6" s="52" t="s">
        <v>630</v>
      </c>
      <c r="F6" s="52" t="s">
        <v>631</v>
      </c>
      <c r="G6" s="52" t="s">
        <v>632</v>
      </c>
      <c r="H6" s="53" t="s">
        <v>638</v>
      </c>
    </row>
    <row r="7" spans="1:8" ht="15" customHeight="1" x14ac:dyDescent="0.3">
      <c r="A7" s="51">
        <v>45662</v>
      </c>
      <c r="B7" s="52" t="s">
        <v>639</v>
      </c>
      <c r="C7" s="52" t="s">
        <v>629</v>
      </c>
      <c r="D7" s="52">
        <v>1</v>
      </c>
      <c r="E7" s="52" t="s">
        <v>630</v>
      </c>
      <c r="F7" s="52" t="s">
        <v>631</v>
      </c>
      <c r="G7" s="52" t="s">
        <v>632</v>
      </c>
      <c r="H7" s="53" t="s">
        <v>638</v>
      </c>
    </row>
    <row r="8" spans="1:8" ht="15" customHeight="1" x14ac:dyDescent="0.3">
      <c r="A8" s="48">
        <v>45663</v>
      </c>
      <c r="B8" s="49" t="s">
        <v>640</v>
      </c>
      <c r="C8" s="49" t="s">
        <v>629</v>
      </c>
      <c r="D8" s="49">
        <v>1</v>
      </c>
      <c r="E8" s="49" t="s">
        <v>630</v>
      </c>
      <c r="F8" s="49" t="s">
        <v>631</v>
      </c>
      <c r="G8" s="49" t="s">
        <v>635</v>
      </c>
      <c r="H8" s="50"/>
    </row>
    <row r="9" spans="1:8" ht="15" customHeight="1" x14ac:dyDescent="0.3">
      <c r="A9" s="48">
        <v>45664</v>
      </c>
      <c r="B9" s="49" t="s">
        <v>641</v>
      </c>
      <c r="C9" s="49" t="s">
        <v>629</v>
      </c>
      <c r="D9" s="49">
        <v>1</v>
      </c>
      <c r="E9" s="49" t="s">
        <v>630</v>
      </c>
      <c r="F9" s="49" t="s">
        <v>631</v>
      </c>
      <c r="G9" s="49" t="s">
        <v>635</v>
      </c>
      <c r="H9" s="50"/>
    </row>
    <row r="10" spans="1:8" ht="15" customHeight="1" x14ac:dyDescent="0.3">
      <c r="A10" s="48">
        <v>45665</v>
      </c>
      <c r="B10" s="49" t="s">
        <v>628</v>
      </c>
      <c r="C10" s="49" t="s">
        <v>629</v>
      </c>
      <c r="D10" s="49">
        <v>1</v>
      </c>
      <c r="E10" s="49" t="s">
        <v>630</v>
      </c>
      <c r="F10" s="49" t="s">
        <v>631</v>
      </c>
      <c r="G10" s="49" t="s">
        <v>635</v>
      </c>
      <c r="H10" s="50"/>
    </row>
    <row r="11" spans="1:8" ht="15" customHeight="1" x14ac:dyDescent="0.3">
      <c r="A11" s="48">
        <v>45666</v>
      </c>
      <c r="B11" s="49" t="s">
        <v>634</v>
      </c>
      <c r="C11" s="49" t="s">
        <v>629</v>
      </c>
      <c r="D11" s="49">
        <v>1</v>
      </c>
      <c r="E11" s="49" t="s">
        <v>630</v>
      </c>
      <c r="F11" s="49" t="s">
        <v>631</v>
      </c>
      <c r="G11" s="49" t="s">
        <v>635</v>
      </c>
      <c r="H11" s="50"/>
    </row>
    <row r="12" spans="1:8" ht="15" customHeight="1" x14ac:dyDescent="0.3">
      <c r="A12" s="48">
        <v>45667</v>
      </c>
      <c r="B12" s="49" t="s">
        <v>636</v>
      </c>
      <c r="C12" s="49" t="s">
        <v>629</v>
      </c>
      <c r="D12" s="49">
        <v>1</v>
      </c>
      <c r="E12" s="49" t="s">
        <v>630</v>
      </c>
      <c r="F12" s="49" t="s">
        <v>631</v>
      </c>
      <c r="G12" s="49" t="s">
        <v>635</v>
      </c>
      <c r="H12" s="50"/>
    </row>
    <row r="13" spans="1:8" ht="15" customHeight="1" x14ac:dyDescent="0.3">
      <c r="A13" s="51">
        <v>45668</v>
      </c>
      <c r="B13" s="52" t="s">
        <v>637</v>
      </c>
      <c r="C13" s="52" t="s">
        <v>629</v>
      </c>
      <c r="D13" s="52">
        <v>1</v>
      </c>
      <c r="E13" s="52" t="s">
        <v>630</v>
      </c>
      <c r="F13" s="52" t="s">
        <v>631</v>
      </c>
      <c r="G13" s="52" t="s">
        <v>632</v>
      </c>
      <c r="H13" s="53" t="s">
        <v>638</v>
      </c>
    </row>
    <row r="14" spans="1:8" ht="15" customHeight="1" x14ac:dyDescent="0.3">
      <c r="A14" s="51">
        <v>45669</v>
      </c>
      <c r="B14" s="52" t="s">
        <v>639</v>
      </c>
      <c r="C14" s="52" t="s">
        <v>629</v>
      </c>
      <c r="D14" s="52">
        <v>1</v>
      </c>
      <c r="E14" s="52" t="s">
        <v>630</v>
      </c>
      <c r="F14" s="52" t="s">
        <v>631</v>
      </c>
      <c r="G14" s="52" t="s">
        <v>632</v>
      </c>
      <c r="H14" s="53" t="s">
        <v>638</v>
      </c>
    </row>
    <row r="15" spans="1:8" ht="15" customHeight="1" x14ac:dyDescent="0.3">
      <c r="A15" s="48">
        <v>45670</v>
      </c>
      <c r="B15" s="49" t="s">
        <v>640</v>
      </c>
      <c r="C15" s="49" t="s">
        <v>629</v>
      </c>
      <c r="D15" s="49">
        <v>1</v>
      </c>
      <c r="E15" s="49" t="s">
        <v>630</v>
      </c>
      <c r="F15" s="49" t="s">
        <v>631</v>
      </c>
      <c r="G15" s="49" t="s">
        <v>635</v>
      </c>
      <c r="H15" s="50"/>
    </row>
    <row r="16" spans="1:8" ht="15" customHeight="1" x14ac:dyDescent="0.3">
      <c r="A16" s="48">
        <v>45671</v>
      </c>
      <c r="B16" s="49" t="s">
        <v>641</v>
      </c>
      <c r="C16" s="49" t="s">
        <v>629</v>
      </c>
      <c r="D16" s="49">
        <v>1</v>
      </c>
      <c r="E16" s="49" t="s">
        <v>630</v>
      </c>
      <c r="F16" s="49" t="s">
        <v>631</v>
      </c>
      <c r="G16" s="49" t="s">
        <v>635</v>
      </c>
      <c r="H16" s="50"/>
    </row>
    <row r="17" spans="1:8" ht="15" customHeight="1" x14ac:dyDescent="0.3">
      <c r="A17" s="48">
        <v>45672</v>
      </c>
      <c r="B17" s="49" t="s">
        <v>628</v>
      </c>
      <c r="C17" s="49" t="s">
        <v>629</v>
      </c>
      <c r="D17" s="49">
        <v>1</v>
      </c>
      <c r="E17" s="49" t="s">
        <v>630</v>
      </c>
      <c r="F17" s="49" t="s">
        <v>631</v>
      </c>
      <c r="G17" s="49" t="s">
        <v>635</v>
      </c>
      <c r="H17" s="50"/>
    </row>
    <row r="18" spans="1:8" ht="15" customHeight="1" x14ac:dyDescent="0.3">
      <c r="A18" s="48">
        <v>45673</v>
      </c>
      <c r="B18" s="49" t="s">
        <v>634</v>
      </c>
      <c r="C18" s="49" t="s">
        <v>629</v>
      </c>
      <c r="D18" s="49">
        <v>1</v>
      </c>
      <c r="E18" s="49" t="s">
        <v>630</v>
      </c>
      <c r="F18" s="49" t="s">
        <v>631</v>
      </c>
      <c r="G18" s="49" t="s">
        <v>635</v>
      </c>
      <c r="H18" s="50"/>
    </row>
    <row r="19" spans="1:8" ht="15" customHeight="1" x14ac:dyDescent="0.3">
      <c r="A19" s="48">
        <v>45674</v>
      </c>
      <c r="B19" s="49" t="s">
        <v>636</v>
      </c>
      <c r="C19" s="49" t="s">
        <v>629</v>
      </c>
      <c r="D19" s="49">
        <v>1</v>
      </c>
      <c r="E19" s="49" t="s">
        <v>630</v>
      </c>
      <c r="F19" s="49" t="s">
        <v>631</v>
      </c>
      <c r="G19" s="49" t="s">
        <v>635</v>
      </c>
      <c r="H19" s="50"/>
    </row>
    <row r="20" spans="1:8" ht="15" customHeight="1" x14ac:dyDescent="0.3">
      <c r="A20" s="51">
        <v>45675</v>
      </c>
      <c r="B20" s="52" t="s">
        <v>637</v>
      </c>
      <c r="C20" s="52" t="s">
        <v>629</v>
      </c>
      <c r="D20" s="52">
        <v>1</v>
      </c>
      <c r="E20" s="52" t="s">
        <v>630</v>
      </c>
      <c r="F20" s="52" t="s">
        <v>631</v>
      </c>
      <c r="G20" s="52" t="s">
        <v>632</v>
      </c>
      <c r="H20" s="53" t="s">
        <v>638</v>
      </c>
    </row>
    <row r="21" spans="1:8" ht="15" customHeight="1" x14ac:dyDescent="0.3">
      <c r="A21" s="51">
        <v>45676</v>
      </c>
      <c r="B21" s="52" t="s">
        <v>639</v>
      </c>
      <c r="C21" s="52" t="s">
        <v>629</v>
      </c>
      <c r="D21" s="52">
        <v>1</v>
      </c>
      <c r="E21" s="52" t="s">
        <v>630</v>
      </c>
      <c r="F21" s="52" t="s">
        <v>631</v>
      </c>
      <c r="G21" s="52" t="s">
        <v>632</v>
      </c>
      <c r="H21" s="53" t="s">
        <v>638</v>
      </c>
    </row>
    <row r="22" spans="1:8" ht="15" customHeight="1" x14ac:dyDescent="0.3">
      <c r="A22" s="48">
        <v>45677</v>
      </c>
      <c r="B22" s="49" t="s">
        <v>640</v>
      </c>
      <c r="C22" s="49" t="s">
        <v>629</v>
      </c>
      <c r="D22" s="49">
        <v>1</v>
      </c>
      <c r="E22" s="49" t="s">
        <v>630</v>
      </c>
      <c r="F22" s="49" t="s">
        <v>631</v>
      </c>
      <c r="G22" s="49" t="s">
        <v>635</v>
      </c>
      <c r="H22" s="50"/>
    </row>
    <row r="23" spans="1:8" ht="15" customHeight="1" x14ac:dyDescent="0.3">
      <c r="A23" s="48">
        <v>45678</v>
      </c>
      <c r="B23" s="49" t="s">
        <v>641</v>
      </c>
      <c r="C23" s="49" t="s">
        <v>629</v>
      </c>
      <c r="D23" s="49">
        <v>1</v>
      </c>
      <c r="E23" s="49" t="s">
        <v>630</v>
      </c>
      <c r="F23" s="49" t="s">
        <v>631</v>
      </c>
      <c r="G23" s="49" t="s">
        <v>635</v>
      </c>
      <c r="H23" s="50"/>
    </row>
    <row r="24" spans="1:8" ht="15" customHeight="1" x14ac:dyDescent="0.3">
      <c r="A24" s="48">
        <v>45679</v>
      </c>
      <c r="B24" s="49" t="s">
        <v>628</v>
      </c>
      <c r="C24" s="49" t="s">
        <v>629</v>
      </c>
      <c r="D24" s="49">
        <v>1</v>
      </c>
      <c r="E24" s="49" t="s">
        <v>630</v>
      </c>
      <c r="F24" s="49" t="s">
        <v>631</v>
      </c>
      <c r="G24" s="49" t="s">
        <v>635</v>
      </c>
      <c r="H24" s="50"/>
    </row>
    <row r="25" spans="1:8" ht="15" customHeight="1" x14ac:dyDescent="0.3">
      <c r="A25" s="48">
        <v>45680</v>
      </c>
      <c r="B25" s="49" t="s">
        <v>634</v>
      </c>
      <c r="C25" s="49" t="s">
        <v>629</v>
      </c>
      <c r="D25" s="49">
        <v>1</v>
      </c>
      <c r="E25" s="49" t="s">
        <v>630</v>
      </c>
      <c r="F25" s="49" t="s">
        <v>631</v>
      </c>
      <c r="G25" s="49" t="s">
        <v>635</v>
      </c>
      <c r="H25" s="50"/>
    </row>
    <row r="26" spans="1:8" ht="15" customHeight="1" x14ac:dyDescent="0.3">
      <c r="A26" s="48">
        <v>45681</v>
      </c>
      <c r="B26" s="49" t="s">
        <v>636</v>
      </c>
      <c r="C26" s="49" t="s">
        <v>629</v>
      </c>
      <c r="D26" s="49">
        <v>1</v>
      </c>
      <c r="E26" s="49" t="s">
        <v>630</v>
      </c>
      <c r="F26" s="49" t="s">
        <v>631</v>
      </c>
      <c r="G26" s="49" t="s">
        <v>635</v>
      </c>
      <c r="H26" s="50"/>
    </row>
    <row r="27" spans="1:8" ht="15" customHeight="1" x14ac:dyDescent="0.3">
      <c r="A27" s="51">
        <v>45682</v>
      </c>
      <c r="B27" s="52" t="s">
        <v>637</v>
      </c>
      <c r="C27" s="52" t="s">
        <v>629</v>
      </c>
      <c r="D27" s="52">
        <v>1</v>
      </c>
      <c r="E27" s="52" t="s">
        <v>630</v>
      </c>
      <c r="F27" s="52" t="s">
        <v>631</v>
      </c>
      <c r="G27" s="52" t="s">
        <v>632</v>
      </c>
      <c r="H27" s="53" t="s">
        <v>638</v>
      </c>
    </row>
    <row r="28" spans="1:8" ht="15" customHeight="1" x14ac:dyDescent="0.3">
      <c r="A28" s="51">
        <v>45683</v>
      </c>
      <c r="B28" s="52" t="s">
        <v>639</v>
      </c>
      <c r="C28" s="52" t="s">
        <v>629</v>
      </c>
      <c r="D28" s="52">
        <v>1</v>
      </c>
      <c r="E28" s="52" t="s">
        <v>630</v>
      </c>
      <c r="F28" s="52" t="s">
        <v>631</v>
      </c>
      <c r="G28" s="52" t="s">
        <v>632</v>
      </c>
      <c r="H28" s="53" t="s">
        <v>638</v>
      </c>
    </row>
    <row r="29" spans="1:8" ht="15" customHeight="1" x14ac:dyDescent="0.3">
      <c r="A29" s="48">
        <v>45684</v>
      </c>
      <c r="B29" s="49" t="s">
        <v>640</v>
      </c>
      <c r="C29" s="49" t="s">
        <v>629</v>
      </c>
      <c r="D29" s="49">
        <v>1</v>
      </c>
      <c r="E29" s="49" t="s">
        <v>630</v>
      </c>
      <c r="F29" s="49" t="s">
        <v>631</v>
      </c>
      <c r="G29" s="49" t="s">
        <v>635</v>
      </c>
      <c r="H29" s="50"/>
    </row>
    <row r="30" spans="1:8" ht="15" customHeight="1" x14ac:dyDescent="0.3">
      <c r="A30" s="48">
        <v>45685</v>
      </c>
      <c r="B30" s="49" t="s">
        <v>641</v>
      </c>
      <c r="C30" s="49" t="s">
        <v>629</v>
      </c>
      <c r="D30" s="49">
        <v>1</v>
      </c>
      <c r="E30" s="49" t="s">
        <v>630</v>
      </c>
      <c r="F30" s="49" t="s">
        <v>631</v>
      </c>
      <c r="G30" s="49" t="s">
        <v>635</v>
      </c>
      <c r="H30" s="50"/>
    </row>
    <row r="31" spans="1:8" ht="15" customHeight="1" x14ac:dyDescent="0.3">
      <c r="A31" s="45">
        <v>45686</v>
      </c>
      <c r="B31" s="46" t="s">
        <v>628</v>
      </c>
      <c r="C31" s="46" t="s">
        <v>629</v>
      </c>
      <c r="D31" s="46">
        <v>1</v>
      </c>
      <c r="E31" s="46" t="s">
        <v>630</v>
      </c>
      <c r="F31" s="46" t="s">
        <v>631</v>
      </c>
      <c r="G31" s="46" t="s">
        <v>632</v>
      </c>
      <c r="H31" s="47" t="s">
        <v>642</v>
      </c>
    </row>
    <row r="32" spans="1:8" ht="15" customHeight="1" x14ac:dyDescent="0.3">
      <c r="A32" s="45">
        <v>45687</v>
      </c>
      <c r="B32" s="46" t="s">
        <v>634</v>
      </c>
      <c r="C32" s="46" t="s">
        <v>629</v>
      </c>
      <c r="D32" s="46">
        <v>1</v>
      </c>
      <c r="E32" s="46" t="s">
        <v>630</v>
      </c>
      <c r="F32" s="46" t="s">
        <v>631</v>
      </c>
      <c r="G32" s="46" t="s">
        <v>632</v>
      </c>
      <c r="H32" s="47" t="s">
        <v>643</v>
      </c>
    </row>
    <row r="33" spans="1:8" ht="15" customHeight="1" x14ac:dyDescent="0.3">
      <c r="A33" s="48">
        <v>45688</v>
      </c>
      <c r="B33" s="49" t="s">
        <v>636</v>
      </c>
      <c r="C33" s="49" t="s">
        <v>629</v>
      </c>
      <c r="D33" s="49">
        <v>1</v>
      </c>
      <c r="E33" s="49" t="s">
        <v>630</v>
      </c>
      <c r="F33" s="49" t="s">
        <v>631</v>
      </c>
      <c r="G33" s="49" t="s">
        <v>635</v>
      </c>
      <c r="H33" s="50"/>
    </row>
    <row r="34" spans="1:8" ht="15" customHeight="1" x14ac:dyDescent="0.3">
      <c r="A34" s="51">
        <v>45689</v>
      </c>
      <c r="B34" s="52" t="s">
        <v>637</v>
      </c>
      <c r="C34" s="52" t="s">
        <v>644</v>
      </c>
      <c r="D34" s="52">
        <v>2</v>
      </c>
      <c r="E34" s="52" t="s">
        <v>630</v>
      </c>
      <c r="F34" s="52" t="s">
        <v>645</v>
      </c>
      <c r="G34" s="52" t="s">
        <v>632</v>
      </c>
      <c r="H34" s="53" t="s">
        <v>638</v>
      </c>
    </row>
    <row r="35" spans="1:8" ht="15" customHeight="1" x14ac:dyDescent="0.3">
      <c r="A35" s="51">
        <v>45690</v>
      </c>
      <c r="B35" s="52" t="s">
        <v>639</v>
      </c>
      <c r="C35" s="52" t="s">
        <v>644</v>
      </c>
      <c r="D35" s="52">
        <v>2</v>
      </c>
      <c r="E35" s="52" t="s">
        <v>630</v>
      </c>
      <c r="F35" s="52" t="s">
        <v>645</v>
      </c>
      <c r="G35" s="52" t="s">
        <v>632</v>
      </c>
      <c r="H35" s="53" t="s">
        <v>638</v>
      </c>
    </row>
    <row r="36" spans="1:8" ht="15" customHeight="1" x14ac:dyDescent="0.3">
      <c r="A36" s="48">
        <v>45691</v>
      </c>
      <c r="B36" s="49" t="s">
        <v>640</v>
      </c>
      <c r="C36" s="49" t="s">
        <v>644</v>
      </c>
      <c r="D36" s="49">
        <v>2</v>
      </c>
      <c r="E36" s="49" t="s">
        <v>630</v>
      </c>
      <c r="F36" s="49" t="s">
        <v>645</v>
      </c>
      <c r="G36" s="49" t="s">
        <v>635</v>
      </c>
      <c r="H36" s="50"/>
    </row>
    <row r="37" spans="1:8" ht="15" customHeight="1" x14ac:dyDescent="0.3">
      <c r="A37" s="48">
        <v>45692</v>
      </c>
      <c r="B37" s="49" t="s">
        <v>641</v>
      </c>
      <c r="C37" s="49" t="s">
        <v>644</v>
      </c>
      <c r="D37" s="49">
        <v>2</v>
      </c>
      <c r="E37" s="49" t="s">
        <v>630</v>
      </c>
      <c r="F37" s="49" t="s">
        <v>645</v>
      </c>
      <c r="G37" s="49" t="s">
        <v>635</v>
      </c>
      <c r="H37" s="50"/>
    </row>
    <row r="38" spans="1:8" ht="15" customHeight="1" x14ac:dyDescent="0.3">
      <c r="A38" s="48">
        <v>45693</v>
      </c>
      <c r="B38" s="49" t="s">
        <v>628</v>
      </c>
      <c r="C38" s="49" t="s">
        <v>644</v>
      </c>
      <c r="D38" s="49">
        <v>2</v>
      </c>
      <c r="E38" s="49" t="s">
        <v>630</v>
      </c>
      <c r="F38" s="49" t="s">
        <v>645</v>
      </c>
      <c r="G38" s="49" t="s">
        <v>635</v>
      </c>
      <c r="H38" s="50"/>
    </row>
    <row r="39" spans="1:8" ht="15" customHeight="1" x14ac:dyDescent="0.3">
      <c r="A39" s="48">
        <v>45694</v>
      </c>
      <c r="B39" s="49" t="s">
        <v>634</v>
      </c>
      <c r="C39" s="49" t="s">
        <v>644</v>
      </c>
      <c r="D39" s="49">
        <v>2</v>
      </c>
      <c r="E39" s="49" t="s">
        <v>630</v>
      </c>
      <c r="F39" s="49" t="s">
        <v>645</v>
      </c>
      <c r="G39" s="49" t="s">
        <v>635</v>
      </c>
      <c r="H39" s="50"/>
    </row>
    <row r="40" spans="1:8" ht="15" customHeight="1" x14ac:dyDescent="0.3">
      <c r="A40" s="48">
        <v>45695</v>
      </c>
      <c r="B40" s="49" t="s">
        <v>636</v>
      </c>
      <c r="C40" s="49" t="s">
        <v>644</v>
      </c>
      <c r="D40" s="49">
        <v>2</v>
      </c>
      <c r="E40" s="49" t="s">
        <v>630</v>
      </c>
      <c r="F40" s="49" t="s">
        <v>645</v>
      </c>
      <c r="G40" s="49" t="s">
        <v>635</v>
      </c>
      <c r="H40" s="50"/>
    </row>
    <row r="41" spans="1:8" ht="15" customHeight="1" x14ac:dyDescent="0.3">
      <c r="A41" s="51">
        <v>45696</v>
      </c>
      <c r="B41" s="52" t="s">
        <v>637</v>
      </c>
      <c r="C41" s="52" t="s">
        <v>644</v>
      </c>
      <c r="D41" s="52">
        <v>2</v>
      </c>
      <c r="E41" s="52" t="s">
        <v>630</v>
      </c>
      <c r="F41" s="52" t="s">
        <v>645</v>
      </c>
      <c r="G41" s="52" t="s">
        <v>632</v>
      </c>
      <c r="H41" s="53" t="s">
        <v>638</v>
      </c>
    </row>
    <row r="42" spans="1:8" ht="15" customHeight="1" x14ac:dyDescent="0.3">
      <c r="A42" s="51">
        <v>45697</v>
      </c>
      <c r="B42" s="52" t="s">
        <v>639</v>
      </c>
      <c r="C42" s="52" t="s">
        <v>644</v>
      </c>
      <c r="D42" s="52">
        <v>2</v>
      </c>
      <c r="E42" s="52" t="s">
        <v>630</v>
      </c>
      <c r="F42" s="52" t="s">
        <v>645</v>
      </c>
      <c r="G42" s="52" t="s">
        <v>632</v>
      </c>
      <c r="H42" s="53" t="s">
        <v>638</v>
      </c>
    </row>
    <row r="43" spans="1:8" ht="15" customHeight="1" x14ac:dyDescent="0.3">
      <c r="A43" s="48">
        <v>45698</v>
      </c>
      <c r="B43" s="49" t="s">
        <v>640</v>
      </c>
      <c r="C43" s="49" t="s">
        <v>644</v>
      </c>
      <c r="D43" s="49">
        <v>2</v>
      </c>
      <c r="E43" s="49" t="s">
        <v>630</v>
      </c>
      <c r="F43" s="49" t="s">
        <v>645</v>
      </c>
      <c r="G43" s="49" t="s">
        <v>635</v>
      </c>
      <c r="H43" s="50"/>
    </row>
    <row r="44" spans="1:8" ht="15" customHeight="1" x14ac:dyDescent="0.3">
      <c r="A44" s="48">
        <v>45699</v>
      </c>
      <c r="B44" s="49" t="s">
        <v>641</v>
      </c>
      <c r="C44" s="49" t="s">
        <v>644</v>
      </c>
      <c r="D44" s="49">
        <v>2</v>
      </c>
      <c r="E44" s="49" t="s">
        <v>630</v>
      </c>
      <c r="F44" s="49" t="s">
        <v>645</v>
      </c>
      <c r="G44" s="49" t="s">
        <v>635</v>
      </c>
      <c r="H44" s="50"/>
    </row>
    <row r="45" spans="1:8" ht="15" customHeight="1" x14ac:dyDescent="0.3">
      <c r="A45" s="48">
        <v>45700</v>
      </c>
      <c r="B45" s="49" t="s">
        <v>628</v>
      </c>
      <c r="C45" s="49" t="s">
        <v>644</v>
      </c>
      <c r="D45" s="49">
        <v>2</v>
      </c>
      <c r="E45" s="49" t="s">
        <v>630</v>
      </c>
      <c r="F45" s="49" t="s">
        <v>645</v>
      </c>
      <c r="G45" s="49" t="s">
        <v>635</v>
      </c>
      <c r="H45" s="50"/>
    </row>
    <row r="46" spans="1:8" ht="15" customHeight="1" x14ac:dyDescent="0.3">
      <c r="A46" s="48">
        <v>45701</v>
      </c>
      <c r="B46" s="49" t="s">
        <v>634</v>
      </c>
      <c r="C46" s="49" t="s">
        <v>644</v>
      </c>
      <c r="D46" s="49">
        <v>2</v>
      </c>
      <c r="E46" s="49" t="s">
        <v>630</v>
      </c>
      <c r="F46" s="49" t="s">
        <v>645</v>
      </c>
      <c r="G46" s="49" t="s">
        <v>635</v>
      </c>
      <c r="H46" s="50"/>
    </row>
    <row r="47" spans="1:8" ht="15" customHeight="1" x14ac:dyDescent="0.3">
      <c r="A47" s="48">
        <v>45702</v>
      </c>
      <c r="B47" s="49" t="s">
        <v>636</v>
      </c>
      <c r="C47" s="49" t="s">
        <v>644</v>
      </c>
      <c r="D47" s="49">
        <v>2</v>
      </c>
      <c r="E47" s="49" t="s">
        <v>630</v>
      </c>
      <c r="F47" s="49" t="s">
        <v>645</v>
      </c>
      <c r="G47" s="49" t="s">
        <v>635</v>
      </c>
      <c r="H47" s="50"/>
    </row>
    <row r="48" spans="1:8" ht="15" customHeight="1" x14ac:dyDescent="0.3">
      <c r="A48" s="51">
        <v>45703</v>
      </c>
      <c r="B48" s="52" t="s">
        <v>637</v>
      </c>
      <c r="C48" s="52" t="s">
        <v>644</v>
      </c>
      <c r="D48" s="52">
        <v>2</v>
      </c>
      <c r="E48" s="52" t="s">
        <v>630</v>
      </c>
      <c r="F48" s="52" t="s">
        <v>645</v>
      </c>
      <c r="G48" s="52" t="s">
        <v>632</v>
      </c>
      <c r="H48" s="53" t="s">
        <v>638</v>
      </c>
    </row>
    <row r="49" spans="1:8" ht="15" customHeight="1" x14ac:dyDescent="0.3">
      <c r="A49" s="51">
        <v>45704</v>
      </c>
      <c r="B49" s="52" t="s">
        <v>639</v>
      </c>
      <c r="C49" s="52" t="s">
        <v>644</v>
      </c>
      <c r="D49" s="52">
        <v>2</v>
      </c>
      <c r="E49" s="52" t="s">
        <v>630</v>
      </c>
      <c r="F49" s="52" t="s">
        <v>645</v>
      </c>
      <c r="G49" s="52" t="s">
        <v>632</v>
      </c>
      <c r="H49" s="53" t="s">
        <v>638</v>
      </c>
    </row>
    <row r="50" spans="1:8" ht="15" customHeight="1" x14ac:dyDescent="0.3">
      <c r="A50" s="48">
        <v>45705</v>
      </c>
      <c r="B50" s="49" t="s">
        <v>640</v>
      </c>
      <c r="C50" s="49" t="s">
        <v>644</v>
      </c>
      <c r="D50" s="49">
        <v>2</v>
      </c>
      <c r="E50" s="49" t="s">
        <v>630</v>
      </c>
      <c r="F50" s="49" t="s">
        <v>645</v>
      </c>
      <c r="G50" s="49" t="s">
        <v>635</v>
      </c>
      <c r="H50" s="50"/>
    </row>
    <row r="51" spans="1:8" ht="15" customHeight="1" x14ac:dyDescent="0.3">
      <c r="A51" s="48">
        <v>45706</v>
      </c>
      <c r="B51" s="49" t="s">
        <v>641</v>
      </c>
      <c r="C51" s="49" t="s">
        <v>644</v>
      </c>
      <c r="D51" s="49">
        <v>2</v>
      </c>
      <c r="E51" s="49" t="s">
        <v>630</v>
      </c>
      <c r="F51" s="49" t="s">
        <v>645</v>
      </c>
      <c r="G51" s="49" t="s">
        <v>635</v>
      </c>
      <c r="H51" s="50"/>
    </row>
    <row r="52" spans="1:8" ht="15" customHeight="1" x14ac:dyDescent="0.3">
      <c r="A52" s="48">
        <v>45707</v>
      </c>
      <c r="B52" s="49" t="s">
        <v>628</v>
      </c>
      <c r="C52" s="49" t="s">
        <v>644</v>
      </c>
      <c r="D52" s="49">
        <v>2</v>
      </c>
      <c r="E52" s="49" t="s">
        <v>630</v>
      </c>
      <c r="F52" s="49" t="s">
        <v>645</v>
      </c>
      <c r="G52" s="49" t="s">
        <v>635</v>
      </c>
      <c r="H52" s="50"/>
    </row>
    <row r="53" spans="1:8" ht="15" customHeight="1" x14ac:dyDescent="0.3">
      <c r="A53" s="48">
        <v>45708</v>
      </c>
      <c r="B53" s="49" t="s">
        <v>634</v>
      </c>
      <c r="C53" s="49" t="s">
        <v>644</v>
      </c>
      <c r="D53" s="49">
        <v>2</v>
      </c>
      <c r="E53" s="49" t="s">
        <v>630</v>
      </c>
      <c r="F53" s="49" t="s">
        <v>645</v>
      </c>
      <c r="G53" s="49" t="s">
        <v>635</v>
      </c>
      <c r="H53" s="50"/>
    </row>
    <row r="54" spans="1:8" ht="15" customHeight="1" x14ac:dyDescent="0.3">
      <c r="A54" s="48">
        <v>45709</v>
      </c>
      <c r="B54" s="49" t="s">
        <v>636</v>
      </c>
      <c r="C54" s="49" t="s">
        <v>644</v>
      </c>
      <c r="D54" s="49">
        <v>2</v>
      </c>
      <c r="E54" s="49" t="s">
        <v>630</v>
      </c>
      <c r="F54" s="49" t="s">
        <v>645</v>
      </c>
      <c r="G54" s="49" t="s">
        <v>635</v>
      </c>
      <c r="H54" s="50"/>
    </row>
    <row r="55" spans="1:8" ht="15" customHeight="1" x14ac:dyDescent="0.3">
      <c r="A55" s="51">
        <v>45710</v>
      </c>
      <c r="B55" s="52" t="s">
        <v>637</v>
      </c>
      <c r="C55" s="52" t="s">
        <v>644</v>
      </c>
      <c r="D55" s="52">
        <v>2</v>
      </c>
      <c r="E55" s="52" t="s">
        <v>630</v>
      </c>
      <c r="F55" s="52" t="s">
        <v>645</v>
      </c>
      <c r="G55" s="52" t="s">
        <v>632</v>
      </c>
      <c r="H55" s="53" t="s">
        <v>638</v>
      </c>
    </row>
    <row r="56" spans="1:8" ht="15" customHeight="1" x14ac:dyDescent="0.3">
      <c r="A56" s="51">
        <v>45711</v>
      </c>
      <c r="B56" s="52" t="s">
        <v>639</v>
      </c>
      <c r="C56" s="52" t="s">
        <v>644</v>
      </c>
      <c r="D56" s="52">
        <v>2</v>
      </c>
      <c r="E56" s="52" t="s">
        <v>630</v>
      </c>
      <c r="F56" s="52" t="s">
        <v>645</v>
      </c>
      <c r="G56" s="52" t="s">
        <v>632</v>
      </c>
      <c r="H56" s="53" t="s">
        <v>638</v>
      </c>
    </row>
    <row r="57" spans="1:8" ht="15" customHeight="1" x14ac:dyDescent="0.3">
      <c r="A57" s="48">
        <v>45712</v>
      </c>
      <c r="B57" s="49" t="s">
        <v>640</v>
      </c>
      <c r="C57" s="49" t="s">
        <v>644</v>
      </c>
      <c r="D57" s="49">
        <v>2</v>
      </c>
      <c r="E57" s="49" t="s">
        <v>630</v>
      </c>
      <c r="F57" s="49" t="s">
        <v>645</v>
      </c>
      <c r="G57" s="49" t="s">
        <v>635</v>
      </c>
      <c r="H57" s="50"/>
    </row>
    <row r="58" spans="1:8" ht="15" customHeight="1" x14ac:dyDescent="0.3">
      <c r="A58" s="48">
        <v>45713</v>
      </c>
      <c r="B58" s="49" t="s">
        <v>641</v>
      </c>
      <c r="C58" s="49" t="s">
        <v>644</v>
      </c>
      <c r="D58" s="49">
        <v>2</v>
      </c>
      <c r="E58" s="49" t="s">
        <v>630</v>
      </c>
      <c r="F58" s="49" t="s">
        <v>645</v>
      </c>
      <c r="G58" s="49" t="s">
        <v>635</v>
      </c>
      <c r="H58" s="50"/>
    </row>
    <row r="59" spans="1:8" ht="15" customHeight="1" x14ac:dyDescent="0.3">
      <c r="A59" s="48">
        <v>45714</v>
      </c>
      <c r="B59" s="49" t="s">
        <v>628</v>
      </c>
      <c r="C59" s="49" t="s">
        <v>644</v>
      </c>
      <c r="D59" s="49">
        <v>2</v>
      </c>
      <c r="E59" s="49" t="s">
        <v>630</v>
      </c>
      <c r="F59" s="49" t="s">
        <v>645</v>
      </c>
      <c r="G59" s="49" t="s">
        <v>635</v>
      </c>
      <c r="H59" s="50"/>
    </row>
    <row r="60" spans="1:8" ht="15" customHeight="1" x14ac:dyDescent="0.3">
      <c r="A60" s="48">
        <v>45715</v>
      </c>
      <c r="B60" s="49" t="s">
        <v>634</v>
      </c>
      <c r="C60" s="49" t="s">
        <v>644</v>
      </c>
      <c r="D60" s="49">
        <v>2</v>
      </c>
      <c r="E60" s="49" t="s">
        <v>630</v>
      </c>
      <c r="F60" s="49" t="s">
        <v>645</v>
      </c>
      <c r="G60" s="49" t="s">
        <v>635</v>
      </c>
      <c r="H60" s="50"/>
    </row>
    <row r="61" spans="1:8" ht="15" customHeight="1" x14ac:dyDescent="0.3">
      <c r="A61" s="48">
        <v>45716</v>
      </c>
      <c r="B61" s="49" t="s">
        <v>636</v>
      </c>
      <c r="C61" s="49" t="s">
        <v>644</v>
      </c>
      <c r="D61" s="49">
        <v>2</v>
      </c>
      <c r="E61" s="49" t="s">
        <v>630</v>
      </c>
      <c r="F61" s="49" t="s">
        <v>645</v>
      </c>
      <c r="G61" s="49" t="s">
        <v>635</v>
      </c>
      <c r="H61" s="50"/>
    </row>
    <row r="62" spans="1:8" ht="15" customHeight="1" x14ac:dyDescent="0.3">
      <c r="A62" s="51">
        <v>45717</v>
      </c>
      <c r="B62" s="52" t="s">
        <v>637</v>
      </c>
      <c r="C62" s="52" t="s">
        <v>646</v>
      </c>
      <c r="D62" s="52">
        <v>3</v>
      </c>
      <c r="E62" s="52" t="s">
        <v>630</v>
      </c>
      <c r="F62" s="52" t="s">
        <v>647</v>
      </c>
      <c r="G62" s="52" t="s">
        <v>632</v>
      </c>
      <c r="H62" s="53" t="s">
        <v>638</v>
      </c>
    </row>
    <row r="63" spans="1:8" ht="15" customHeight="1" x14ac:dyDescent="0.3">
      <c r="A63" s="51">
        <v>45718</v>
      </c>
      <c r="B63" s="52" t="s">
        <v>639</v>
      </c>
      <c r="C63" s="52" t="s">
        <v>646</v>
      </c>
      <c r="D63" s="52">
        <v>3</v>
      </c>
      <c r="E63" s="52" t="s">
        <v>630</v>
      </c>
      <c r="F63" s="52" t="s">
        <v>647</v>
      </c>
      <c r="G63" s="52" t="s">
        <v>632</v>
      </c>
      <c r="H63" s="53" t="s">
        <v>638</v>
      </c>
    </row>
    <row r="64" spans="1:8" ht="15" customHeight="1" x14ac:dyDescent="0.3">
      <c r="A64" s="48">
        <v>45719</v>
      </c>
      <c r="B64" s="49" t="s">
        <v>640</v>
      </c>
      <c r="C64" s="49" t="s">
        <v>646</v>
      </c>
      <c r="D64" s="49">
        <v>3</v>
      </c>
      <c r="E64" s="49" t="s">
        <v>630</v>
      </c>
      <c r="F64" s="49" t="s">
        <v>647</v>
      </c>
      <c r="G64" s="49" t="s">
        <v>635</v>
      </c>
      <c r="H64" s="50"/>
    </row>
    <row r="65" spans="1:8" ht="15" customHeight="1" x14ac:dyDescent="0.3">
      <c r="A65" s="48">
        <v>45720</v>
      </c>
      <c r="B65" s="49" t="s">
        <v>641</v>
      </c>
      <c r="C65" s="49" t="s">
        <v>646</v>
      </c>
      <c r="D65" s="49">
        <v>3</v>
      </c>
      <c r="E65" s="49" t="s">
        <v>630</v>
      </c>
      <c r="F65" s="49" t="s">
        <v>647</v>
      </c>
      <c r="G65" s="49" t="s">
        <v>635</v>
      </c>
      <c r="H65" s="50"/>
    </row>
    <row r="66" spans="1:8" ht="15" customHeight="1" x14ac:dyDescent="0.3">
      <c r="A66" s="48">
        <v>45721</v>
      </c>
      <c r="B66" s="49" t="s">
        <v>628</v>
      </c>
      <c r="C66" s="49" t="s">
        <v>646</v>
      </c>
      <c r="D66" s="49">
        <v>3</v>
      </c>
      <c r="E66" s="49" t="s">
        <v>630</v>
      </c>
      <c r="F66" s="49" t="s">
        <v>647</v>
      </c>
      <c r="G66" s="49" t="s">
        <v>635</v>
      </c>
      <c r="H66" s="50"/>
    </row>
    <row r="67" spans="1:8" ht="15" customHeight="1" x14ac:dyDescent="0.3">
      <c r="A67" s="48">
        <v>45722</v>
      </c>
      <c r="B67" s="49" t="s">
        <v>634</v>
      </c>
      <c r="C67" s="49" t="s">
        <v>646</v>
      </c>
      <c r="D67" s="49">
        <v>3</v>
      </c>
      <c r="E67" s="49" t="s">
        <v>630</v>
      </c>
      <c r="F67" s="49" t="s">
        <v>647</v>
      </c>
      <c r="G67" s="49" t="s">
        <v>635</v>
      </c>
      <c r="H67" s="50"/>
    </row>
    <row r="68" spans="1:8" ht="15" customHeight="1" x14ac:dyDescent="0.3">
      <c r="A68" s="48">
        <v>45723</v>
      </c>
      <c r="B68" s="49" t="s">
        <v>636</v>
      </c>
      <c r="C68" s="49" t="s">
        <v>646</v>
      </c>
      <c r="D68" s="49">
        <v>3</v>
      </c>
      <c r="E68" s="49" t="s">
        <v>630</v>
      </c>
      <c r="F68" s="49" t="s">
        <v>647</v>
      </c>
      <c r="G68" s="49" t="s">
        <v>635</v>
      </c>
      <c r="H68" s="50"/>
    </row>
    <row r="69" spans="1:8" ht="15" customHeight="1" x14ac:dyDescent="0.3">
      <c r="A69" s="51">
        <v>45724</v>
      </c>
      <c r="B69" s="52" t="s">
        <v>637</v>
      </c>
      <c r="C69" s="52" t="s">
        <v>646</v>
      </c>
      <c r="D69" s="52">
        <v>3</v>
      </c>
      <c r="E69" s="52" t="s">
        <v>630</v>
      </c>
      <c r="F69" s="52" t="s">
        <v>647</v>
      </c>
      <c r="G69" s="52" t="s">
        <v>632</v>
      </c>
      <c r="H69" s="53" t="s">
        <v>638</v>
      </c>
    </row>
    <row r="70" spans="1:8" ht="15" customHeight="1" x14ac:dyDescent="0.3">
      <c r="A70" s="51">
        <v>45725</v>
      </c>
      <c r="B70" s="52" t="s">
        <v>639</v>
      </c>
      <c r="C70" s="52" t="s">
        <v>646</v>
      </c>
      <c r="D70" s="52">
        <v>3</v>
      </c>
      <c r="E70" s="52" t="s">
        <v>630</v>
      </c>
      <c r="F70" s="52" t="s">
        <v>647</v>
      </c>
      <c r="G70" s="52" t="s">
        <v>632</v>
      </c>
      <c r="H70" s="53" t="s">
        <v>638</v>
      </c>
    </row>
    <row r="71" spans="1:8" ht="15" customHeight="1" x14ac:dyDescent="0.3">
      <c r="A71" s="48">
        <v>45726</v>
      </c>
      <c r="B71" s="49" t="s">
        <v>640</v>
      </c>
      <c r="C71" s="49" t="s">
        <v>646</v>
      </c>
      <c r="D71" s="49">
        <v>3</v>
      </c>
      <c r="E71" s="49" t="s">
        <v>630</v>
      </c>
      <c r="F71" s="49" t="s">
        <v>647</v>
      </c>
      <c r="G71" s="49" t="s">
        <v>635</v>
      </c>
      <c r="H71" s="50"/>
    </row>
    <row r="72" spans="1:8" ht="15" customHeight="1" x14ac:dyDescent="0.3">
      <c r="A72" s="48">
        <v>45727</v>
      </c>
      <c r="B72" s="49" t="s">
        <v>641</v>
      </c>
      <c r="C72" s="49" t="s">
        <v>646</v>
      </c>
      <c r="D72" s="49">
        <v>3</v>
      </c>
      <c r="E72" s="49" t="s">
        <v>630</v>
      </c>
      <c r="F72" s="49" t="s">
        <v>647</v>
      </c>
      <c r="G72" s="49" t="s">
        <v>635</v>
      </c>
      <c r="H72" s="50"/>
    </row>
    <row r="73" spans="1:8" ht="15" customHeight="1" x14ac:dyDescent="0.3">
      <c r="A73" s="48">
        <v>45728</v>
      </c>
      <c r="B73" s="49" t="s">
        <v>628</v>
      </c>
      <c r="C73" s="49" t="s">
        <v>646</v>
      </c>
      <c r="D73" s="49">
        <v>3</v>
      </c>
      <c r="E73" s="49" t="s">
        <v>630</v>
      </c>
      <c r="F73" s="49" t="s">
        <v>647</v>
      </c>
      <c r="G73" s="49" t="s">
        <v>635</v>
      </c>
      <c r="H73" s="50"/>
    </row>
    <row r="74" spans="1:8" ht="15" customHeight="1" x14ac:dyDescent="0.3">
      <c r="A74" s="48">
        <v>45729</v>
      </c>
      <c r="B74" s="49" t="s">
        <v>634</v>
      </c>
      <c r="C74" s="49" t="s">
        <v>646</v>
      </c>
      <c r="D74" s="49">
        <v>3</v>
      </c>
      <c r="E74" s="49" t="s">
        <v>630</v>
      </c>
      <c r="F74" s="49" t="s">
        <v>647</v>
      </c>
      <c r="G74" s="49" t="s">
        <v>635</v>
      </c>
      <c r="H74" s="50"/>
    </row>
    <row r="75" spans="1:8" ht="15" customHeight="1" x14ac:dyDescent="0.3">
      <c r="A75" s="48">
        <v>45730</v>
      </c>
      <c r="B75" s="49" t="s">
        <v>636</v>
      </c>
      <c r="C75" s="49" t="s">
        <v>646</v>
      </c>
      <c r="D75" s="49">
        <v>3</v>
      </c>
      <c r="E75" s="49" t="s">
        <v>630</v>
      </c>
      <c r="F75" s="49" t="s">
        <v>647</v>
      </c>
      <c r="G75" s="49" t="s">
        <v>635</v>
      </c>
      <c r="H75" s="50"/>
    </row>
    <row r="76" spans="1:8" ht="15" customHeight="1" x14ac:dyDescent="0.3">
      <c r="A76" s="51">
        <v>45731</v>
      </c>
      <c r="B76" s="52" t="s">
        <v>637</v>
      </c>
      <c r="C76" s="52" t="s">
        <v>646</v>
      </c>
      <c r="D76" s="52">
        <v>3</v>
      </c>
      <c r="E76" s="52" t="s">
        <v>630</v>
      </c>
      <c r="F76" s="52" t="s">
        <v>647</v>
      </c>
      <c r="G76" s="52" t="s">
        <v>632</v>
      </c>
      <c r="H76" s="53" t="s">
        <v>638</v>
      </c>
    </row>
    <row r="77" spans="1:8" ht="15" customHeight="1" x14ac:dyDescent="0.3">
      <c r="A77" s="51">
        <v>45732</v>
      </c>
      <c r="B77" s="52" t="s">
        <v>639</v>
      </c>
      <c r="C77" s="52" t="s">
        <v>646</v>
      </c>
      <c r="D77" s="52">
        <v>3</v>
      </c>
      <c r="E77" s="52" t="s">
        <v>630</v>
      </c>
      <c r="F77" s="52" t="s">
        <v>647</v>
      </c>
      <c r="G77" s="52" t="s">
        <v>632</v>
      </c>
      <c r="H77" s="53" t="s">
        <v>638</v>
      </c>
    </row>
    <row r="78" spans="1:8" ht="15" customHeight="1" x14ac:dyDescent="0.3">
      <c r="A78" s="48">
        <v>45733</v>
      </c>
      <c r="B78" s="49" t="s">
        <v>640</v>
      </c>
      <c r="C78" s="49" t="s">
        <v>646</v>
      </c>
      <c r="D78" s="49">
        <v>3</v>
      </c>
      <c r="E78" s="49" t="s">
        <v>630</v>
      </c>
      <c r="F78" s="49" t="s">
        <v>647</v>
      </c>
      <c r="G78" s="49" t="s">
        <v>635</v>
      </c>
      <c r="H78" s="50"/>
    </row>
    <row r="79" spans="1:8" ht="15" customHeight="1" x14ac:dyDescent="0.3">
      <c r="A79" s="48">
        <v>45734</v>
      </c>
      <c r="B79" s="49" t="s">
        <v>641</v>
      </c>
      <c r="C79" s="49" t="s">
        <v>646</v>
      </c>
      <c r="D79" s="49">
        <v>3</v>
      </c>
      <c r="E79" s="49" t="s">
        <v>630</v>
      </c>
      <c r="F79" s="49" t="s">
        <v>647</v>
      </c>
      <c r="G79" s="49" t="s">
        <v>635</v>
      </c>
      <c r="H79" s="50"/>
    </row>
    <row r="80" spans="1:8" ht="15" customHeight="1" x14ac:dyDescent="0.3">
      <c r="A80" s="48">
        <v>45735</v>
      </c>
      <c r="B80" s="49" t="s">
        <v>628</v>
      </c>
      <c r="C80" s="49" t="s">
        <v>646</v>
      </c>
      <c r="D80" s="49">
        <v>3</v>
      </c>
      <c r="E80" s="49" t="s">
        <v>630</v>
      </c>
      <c r="F80" s="49" t="s">
        <v>647</v>
      </c>
      <c r="G80" s="49" t="s">
        <v>635</v>
      </c>
      <c r="H80" s="50"/>
    </row>
    <row r="81" spans="1:8" ht="15" customHeight="1" x14ac:dyDescent="0.3">
      <c r="A81" s="48">
        <v>45736</v>
      </c>
      <c r="B81" s="49" t="s">
        <v>634</v>
      </c>
      <c r="C81" s="49" t="s">
        <v>646</v>
      </c>
      <c r="D81" s="49">
        <v>3</v>
      </c>
      <c r="E81" s="49" t="s">
        <v>630</v>
      </c>
      <c r="F81" s="49" t="s">
        <v>647</v>
      </c>
      <c r="G81" s="49" t="s">
        <v>635</v>
      </c>
      <c r="H81" s="50"/>
    </row>
    <row r="82" spans="1:8" ht="15" customHeight="1" x14ac:dyDescent="0.3">
      <c r="A82" s="48">
        <v>45737</v>
      </c>
      <c r="B82" s="49" t="s">
        <v>636</v>
      </c>
      <c r="C82" s="49" t="s">
        <v>646</v>
      </c>
      <c r="D82" s="49">
        <v>3</v>
      </c>
      <c r="E82" s="49" t="s">
        <v>630</v>
      </c>
      <c r="F82" s="49" t="s">
        <v>647</v>
      </c>
      <c r="G82" s="49" t="s">
        <v>635</v>
      </c>
      <c r="H82" s="50"/>
    </row>
    <row r="83" spans="1:8" ht="15" customHeight="1" x14ac:dyDescent="0.3">
      <c r="A83" s="51">
        <v>45738</v>
      </c>
      <c r="B83" s="52" t="s">
        <v>637</v>
      </c>
      <c r="C83" s="52" t="s">
        <v>646</v>
      </c>
      <c r="D83" s="52">
        <v>3</v>
      </c>
      <c r="E83" s="52" t="s">
        <v>630</v>
      </c>
      <c r="F83" s="52" t="s">
        <v>647</v>
      </c>
      <c r="G83" s="52" t="s">
        <v>632</v>
      </c>
      <c r="H83" s="53" t="s">
        <v>638</v>
      </c>
    </row>
    <row r="84" spans="1:8" ht="15" customHeight="1" x14ac:dyDescent="0.3">
      <c r="A84" s="51">
        <v>45739</v>
      </c>
      <c r="B84" s="52" t="s">
        <v>639</v>
      </c>
      <c r="C84" s="52" t="s">
        <v>646</v>
      </c>
      <c r="D84" s="52">
        <v>3</v>
      </c>
      <c r="E84" s="52" t="s">
        <v>630</v>
      </c>
      <c r="F84" s="52" t="s">
        <v>647</v>
      </c>
      <c r="G84" s="52" t="s">
        <v>632</v>
      </c>
      <c r="H84" s="53" t="s">
        <v>638</v>
      </c>
    </row>
    <row r="85" spans="1:8" ht="15" customHeight="1" x14ac:dyDescent="0.3">
      <c r="A85" s="48">
        <v>45740</v>
      </c>
      <c r="B85" s="49" t="s">
        <v>640</v>
      </c>
      <c r="C85" s="49" t="s">
        <v>646</v>
      </c>
      <c r="D85" s="49">
        <v>3</v>
      </c>
      <c r="E85" s="49" t="s">
        <v>630</v>
      </c>
      <c r="F85" s="49" t="s">
        <v>647</v>
      </c>
      <c r="G85" s="49" t="s">
        <v>635</v>
      </c>
      <c r="H85" s="50"/>
    </row>
    <row r="86" spans="1:8" ht="15" customHeight="1" x14ac:dyDescent="0.3">
      <c r="A86" s="48">
        <v>45741</v>
      </c>
      <c r="B86" s="49" t="s">
        <v>641</v>
      </c>
      <c r="C86" s="49" t="s">
        <v>646</v>
      </c>
      <c r="D86" s="49">
        <v>3</v>
      </c>
      <c r="E86" s="49" t="s">
        <v>630</v>
      </c>
      <c r="F86" s="49" t="s">
        <v>647</v>
      </c>
      <c r="G86" s="49" t="s">
        <v>635</v>
      </c>
      <c r="H86" s="50"/>
    </row>
    <row r="87" spans="1:8" ht="15" customHeight="1" x14ac:dyDescent="0.3">
      <c r="A87" s="48">
        <v>45742</v>
      </c>
      <c r="B87" s="49" t="s">
        <v>628</v>
      </c>
      <c r="C87" s="49" t="s">
        <v>646</v>
      </c>
      <c r="D87" s="49">
        <v>3</v>
      </c>
      <c r="E87" s="49" t="s">
        <v>630</v>
      </c>
      <c r="F87" s="49" t="s">
        <v>647</v>
      </c>
      <c r="G87" s="49" t="s">
        <v>635</v>
      </c>
      <c r="H87" s="50"/>
    </row>
    <row r="88" spans="1:8" ht="15" customHeight="1" x14ac:dyDescent="0.3">
      <c r="A88" s="48">
        <v>45743</v>
      </c>
      <c r="B88" s="49" t="s">
        <v>634</v>
      </c>
      <c r="C88" s="49" t="s">
        <v>646</v>
      </c>
      <c r="D88" s="49">
        <v>3</v>
      </c>
      <c r="E88" s="49" t="s">
        <v>630</v>
      </c>
      <c r="F88" s="49" t="s">
        <v>647</v>
      </c>
      <c r="G88" s="49" t="s">
        <v>635</v>
      </c>
      <c r="H88" s="50"/>
    </row>
    <row r="89" spans="1:8" ht="15" customHeight="1" x14ac:dyDescent="0.3">
      <c r="A89" s="48">
        <v>45744</v>
      </c>
      <c r="B89" s="49" t="s">
        <v>636</v>
      </c>
      <c r="C89" s="49" t="s">
        <v>646</v>
      </c>
      <c r="D89" s="49">
        <v>3</v>
      </c>
      <c r="E89" s="49" t="s">
        <v>630</v>
      </c>
      <c r="F89" s="49" t="s">
        <v>647</v>
      </c>
      <c r="G89" s="49" t="s">
        <v>635</v>
      </c>
      <c r="H89" s="50"/>
    </row>
    <row r="90" spans="1:8" ht="15" customHeight="1" x14ac:dyDescent="0.3">
      <c r="A90" s="51">
        <v>45745</v>
      </c>
      <c r="B90" s="52" t="s">
        <v>637</v>
      </c>
      <c r="C90" s="52" t="s">
        <v>646</v>
      </c>
      <c r="D90" s="52">
        <v>3</v>
      </c>
      <c r="E90" s="52" t="s">
        <v>630</v>
      </c>
      <c r="F90" s="52" t="s">
        <v>647</v>
      </c>
      <c r="G90" s="52" t="s">
        <v>632</v>
      </c>
      <c r="H90" s="53" t="s">
        <v>638</v>
      </c>
    </row>
    <row r="91" spans="1:8" ht="15" customHeight="1" x14ac:dyDescent="0.3">
      <c r="A91" s="51">
        <v>45746</v>
      </c>
      <c r="B91" s="52" t="s">
        <v>639</v>
      </c>
      <c r="C91" s="52" t="s">
        <v>646</v>
      </c>
      <c r="D91" s="52">
        <v>3</v>
      </c>
      <c r="E91" s="52" t="s">
        <v>630</v>
      </c>
      <c r="F91" s="52" t="s">
        <v>647</v>
      </c>
      <c r="G91" s="52" t="s">
        <v>632</v>
      </c>
      <c r="H91" s="53" t="s">
        <v>638</v>
      </c>
    </row>
    <row r="92" spans="1:8" ht="15" customHeight="1" x14ac:dyDescent="0.3">
      <c r="A92" s="45">
        <v>45747</v>
      </c>
      <c r="B92" s="46" t="s">
        <v>640</v>
      </c>
      <c r="C92" s="46" t="s">
        <v>646</v>
      </c>
      <c r="D92" s="46">
        <v>3</v>
      </c>
      <c r="E92" s="46" t="s">
        <v>630</v>
      </c>
      <c r="F92" s="46" t="s">
        <v>647</v>
      </c>
      <c r="G92" s="46" t="s">
        <v>632</v>
      </c>
      <c r="H92" s="47" t="s">
        <v>648</v>
      </c>
    </row>
    <row r="93" spans="1:8" ht="15" customHeight="1" x14ac:dyDescent="0.3">
      <c r="A93" s="45">
        <v>45748</v>
      </c>
      <c r="B93" s="46" t="s">
        <v>641</v>
      </c>
      <c r="C93" s="46" t="s">
        <v>649</v>
      </c>
      <c r="D93" s="46">
        <v>4</v>
      </c>
      <c r="E93" s="46" t="s">
        <v>650</v>
      </c>
      <c r="F93" s="46" t="s">
        <v>651</v>
      </c>
      <c r="G93" s="46" t="s">
        <v>632</v>
      </c>
      <c r="H93" s="47" t="s">
        <v>652</v>
      </c>
    </row>
    <row r="94" spans="1:8" ht="15" customHeight="1" x14ac:dyDescent="0.3">
      <c r="A94" s="48">
        <v>45749</v>
      </c>
      <c r="B94" s="49" t="s">
        <v>628</v>
      </c>
      <c r="C94" s="49" t="s">
        <v>649</v>
      </c>
      <c r="D94" s="49">
        <v>4</v>
      </c>
      <c r="E94" s="49" t="s">
        <v>650</v>
      </c>
      <c r="F94" s="49" t="s">
        <v>651</v>
      </c>
      <c r="G94" s="49" t="s">
        <v>635</v>
      </c>
      <c r="H94" s="50"/>
    </row>
    <row r="95" spans="1:8" ht="15" customHeight="1" x14ac:dyDescent="0.3">
      <c r="A95" s="48">
        <v>45750</v>
      </c>
      <c r="B95" s="49" t="s">
        <v>634</v>
      </c>
      <c r="C95" s="49" t="s">
        <v>649</v>
      </c>
      <c r="D95" s="49">
        <v>4</v>
      </c>
      <c r="E95" s="49" t="s">
        <v>650</v>
      </c>
      <c r="F95" s="49" t="s">
        <v>651</v>
      </c>
      <c r="G95" s="49" t="s">
        <v>635</v>
      </c>
      <c r="H95" s="50"/>
    </row>
    <row r="96" spans="1:8" ht="15" customHeight="1" x14ac:dyDescent="0.3">
      <c r="A96" s="48">
        <v>45751</v>
      </c>
      <c r="B96" s="49" t="s">
        <v>636</v>
      </c>
      <c r="C96" s="49" t="s">
        <v>649</v>
      </c>
      <c r="D96" s="49">
        <v>4</v>
      </c>
      <c r="E96" s="49" t="s">
        <v>650</v>
      </c>
      <c r="F96" s="49" t="s">
        <v>651</v>
      </c>
      <c r="G96" s="49" t="s">
        <v>635</v>
      </c>
      <c r="H96" s="50"/>
    </row>
    <row r="97" spans="1:8" ht="15" customHeight="1" x14ac:dyDescent="0.3">
      <c r="A97" s="51">
        <v>45752</v>
      </c>
      <c r="B97" s="52" t="s">
        <v>637</v>
      </c>
      <c r="C97" s="52" t="s">
        <v>649</v>
      </c>
      <c r="D97" s="52">
        <v>4</v>
      </c>
      <c r="E97" s="52" t="s">
        <v>650</v>
      </c>
      <c r="F97" s="52" t="s">
        <v>651</v>
      </c>
      <c r="G97" s="52" t="s">
        <v>632</v>
      </c>
      <c r="H97" s="53" t="s">
        <v>638</v>
      </c>
    </row>
    <row r="98" spans="1:8" ht="15" customHeight="1" x14ac:dyDescent="0.3">
      <c r="A98" s="51">
        <v>45753</v>
      </c>
      <c r="B98" s="52" t="s">
        <v>639</v>
      </c>
      <c r="C98" s="52" t="s">
        <v>649</v>
      </c>
      <c r="D98" s="52">
        <v>4</v>
      </c>
      <c r="E98" s="52" t="s">
        <v>650</v>
      </c>
      <c r="F98" s="52" t="s">
        <v>651</v>
      </c>
      <c r="G98" s="52" t="s">
        <v>632</v>
      </c>
      <c r="H98" s="53" t="s">
        <v>638</v>
      </c>
    </row>
    <row r="99" spans="1:8" ht="15" customHeight="1" x14ac:dyDescent="0.3">
      <c r="A99" s="48">
        <v>45754</v>
      </c>
      <c r="B99" s="49" t="s">
        <v>640</v>
      </c>
      <c r="C99" s="49" t="s">
        <v>649</v>
      </c>
      <c r="D99" s="49">
        <v>4</v>
      </c>
      <c r="E99" s="49" t="s">
        <v>650</v>
      </c>
      <c r="F99" s="49" t="s">
        <v>651</v>
      </c>
      <c r="G99" s="49" t="s">
        <v>635</v>
      </c>
      <c r="H99" s="50"/>
    </row>
    <row r="100" spans="1:8" ht="15" customHeight="1" x14ac:dyDescent="0.3">
      <c r="A100" s="48">
        <v>45755</v>
      </c>
      <c r="B100" s="49" t="s">
        <v>641</v>
      </c>
      <c r="C100" s="49" t="s">
        <v>649</v>
      </c>
      <c r="D100" s="49">
        <v>4</v>
      </c>
      <c r="E100" s="49" t="s">
        <v>650</v>
      </c>
      <c r="F100" s="49" t="s">
        <v>651</v>
      </c>
      <c r="G100" s="49" t="s">
        <v>635</v>
      </c>
      <c r="H100" s="50"/>
    </row>
    <row r="101" spans="1:8" ht="15" customHeight="1" x14ac:dyDescent="0.3">
      <c r="A101" s="48">
        <v>45756</v>
      </c>
      <c r="B101" s="49" t="s">
        <v>628</v>
      </c>
      <c r="C101" s="49" t="s">
        <v>649</v>
      </c>
      <c r="D101" s="49">
        <v>4</v>
      </c>
      <c r="E101" s="49" t="s">
        <v>650</v>
      </c>
      <c r="F101" s="49" t="s">
        <v>651</v>
      </c>
      <c r="G101" s="49" t="s">
        <v>635</v>
      </c>
      <c r="H101" s="50"/>
    </row>
    <row r="102" spans="1:8" ht="15" customHeight="1" x14ac:dyDescent="0.3">
      <c r="A102" s="48">
        <v>45757</v>
      </c>
      <c r="B102" s="49" t="s">
        <v>634</v>
      </c>
      <c r="C102" s="49" t="s">
        <v>649</v>
      </c>
      <c r="D102" s="49">
        <v>4</v>
      </c>
      <c r="E102" s="49" t="s">
        <v>650</v>
      </c>
      <c r="F102" s="49" t="s">
        <v>651</v>
      </c>
      <c r="G102" s="49" t="s">
        <v>635</v>
      </c>
      <c r="H102" s="50"/>
    </row>
    <row r="103" spans="1:8" ht="15" customHeight="1" x14ac:dyDescent="0.3">
      <c r="A103" s="48">
        <v>45758</v>
      </c>
      <c r="B103" s="49" t="s">
        <v>636</v>
      </c>
      <c r="C103" s="49" t="s">
        <v>649</v>
      </c>
      <c r="D103" s="49">
        <v>4</v>
      </c>
      <c r="E103" s="49" t="s">
        <v>650</v>
      </c>
      <c r="F103" s="49" t="s">
        <v>651</v>
      </c>
      <c r="G103" s="49" t="s">
        <v>635</v>
      </c>
      <c r="H103" s="50"/>
    </row>
    <row r="104" spans="1:8" ht="15" customHeight="1" x14ac:dyDescent="0.3">
      <c r="A104" s="51">
        <v>45759</v>
      </c>
      <c r="B104" s="52" t="s">
        <v>637</v>
      </c>
      <c r="C104" s="52" t="s">
        <v>649</v>
      </c>
      <c r="D104" s="52">
        <v>4</v>
      </c>
      <c r="E104" s="52" t="s">
        <v>650</v>
      </c>
      <c r="F104" s="52" t="s">
        <v>651</v>
      </c>
      <c r="G104" s="52" t="s">
        <v>632</v>
      </c>
      <c r="H104" s="53" t="s">
        <v>638</v>
      </c>
    </row>
    <row r="105" spans="1:8" ht="15" customHeight="1" x14ac:dyDescent="0.3">
      <c r="A105" s="51">
        <v>45760</v>
      </c>
      <c r="B105" s="52" t="s">
        <v>639</v>
      </c>
      <c r="C105" s="52" t="s">
        <v>649</v>
      </c>
      <c r="D105" s="52">
        <v>4</v>
      </c>
      <c r="E105" s="52" t="s">
        <v>650</v>
      </c>
      <c r="F105" s="52" t="s">
        <v>651</v>
      </c>
      <c r="G105" s="52" t="s">
        <v>632</v>
      </c>
      <c r="H105" s="53" t="s">
        <v>638</v>
      </c>
    </row>
    <row r="106" spans="1:8" ht="15" customHeight="1" x14ac:dyDescent="0.3">
      <c r="A106" s="48">
        <v>45761</v>
      </c>
      <c r="B106" s="49" t="s">
        <v>640</v>
      </c>
      <c r="C106" s="49" t="s">
        <v>649</v>
      </c>
      <c r="D106" s="49">
        <v>4</v>
      </c>
      <c r="E106" s="49" t="s">
        <v>650</v>
      </c>
      <c r="F106" s="49" t="s">
        <v>651</v>
      </c>
      <c r="G106" s="49" t="s">
        <v>635</v>
      </c>
      <c r="H106" s="50"/>
    </row>
    <row r="107" spans="1:8" ht="15" customHeight="1" x14ac:dyDescent="0.3">
      <c r="A107" s="48">
        <v>45762</v>
      </c>
      <c r="B107" s="49" t="s">
        <v>641</v>
      </c>
      <c r="C107" s="49" t="s">
        <v>649</v>
      </c>
      <c r="D107" s="49">
        <v>4</v>
      </c>
      <c r="E107" s="49" t="s">
        <v>650</v>
      </c>
      <c r="F107" s="49" t="s">
        <v>651</v>
      </c>
      <c r="G107" s="49" t="s">
        <v>635</v>
      </c>
      <c r="H107" s="50"/>
    </row>
    <row r="108" spans="1:8" ht="15" customHeight="1" x14ac:dyDescent="0.3">
      <c r="A108" s="48">
        <v>45763</v>
      </c>
      <c r="B108" s="49" t="s">
        <v>628</v>
      </c>
      <c r="C108" s="49" t="s">
        <v>649</v>
      </c>
      <c r="D108" s="49">
        <v>4</v>
      </c>
      <c r="E108" s="49" t="s">
        <v>650</v>
      </c>
      <c r="F108" s="49" t="s">
        <v>651</v>
      </c>
      <c r="G108" s="49" t="s">
        <v>635</v>
      </c>
      <c r="H108" s="50"/>
    </row>
    <row r="109" spans="1:8" ht="15" customHeight="1" x14ac:dyDescent="0.3">
      <c r="A109" s="48">
        <v>45764</v>
      </c>
      <c r="B109" s="49" t="s">
        <v>634</v>
      </c>
      <c r="C109" s="49" t="s">
        <v>649</v>
      </c>
      <c r="D109" s="49">
        <v>4</v>
      </c>
      <c r="E109" s="49" t="s">
        <v>650</v>
      </c>
      <c r="F109" s="49" t="s">
        <v>651</v>
      </c>
      <c r="G109" s="49" t="s">
        <v>635</v>
      </c>
      <c r="H109" s="50"/>
    </row>
    <row r="110" spans="1:8" ht="15" customHeight="1" x14ac:dyDescent="0.3">
      <c r="A110" s="48">
        <v>45765</v>
      </c>
      <c r="B110" s="49" t="s">
        <v>636</v>
      </c>
      <c r="C110" s="49" t="s">
        <v>649</v>
      </c>
      <c r="D110" s="49">
        <v>4</v>
      </c>
      <c r="E110" s="49" t="s">
        <v>650</v>
      </c>
      <c r="F110" s="49" t="s">
        <v>651</v>
      </c>
      <c r="G110" s="49" t="s">
        <v>635</v>
      </c>
      <c r="H110" s="50"/>
    </row>
    <row r="111" spans="1:8" ht="15" customHeight="1" x14ac:dyDescent="0.3">
      <c r="A111" s="51">
        <v>45766</v>
      </c>
      <c r="B111" s="52" t="s">
        <v>637</v>
      </c>
      <c r="C111" s="52" t="s">
        <v>649</v>
      </c>
      <c r="D111" s="52">
        <v>4</v>
      </c>
      <c r="E111" s="52" t="s">
        <v>650</v>
      </c>
      <c r="F111" s="52" t="s">
        <v>651</v>
      </c>
      <c r="G111" s="52" t="s">
        <v>632</v>
      </c>
      <c r="H111" s="53" t="s">
        <v>638</v>
      </c>
    </row>
    <row r="112" spans="1:8" ht="15" customHeight="1" x14ac:dyDescent="0.3">
      <c r="A112" s="51">
        <v>45767</v>
      </c>
      <c r="B112" s="52" t="s">
        <v>639</v>
      </c>
      <c r="C112" s="52" t="s">
        <v>649</v>
      </c>
      <c r="D112" s="52">
        <v>4</v>
      </c>
      <c r="E112" s="52" t="s">
        <v>650</v>
      </c>
      <c r="F112" s="52" t="s">
        <v>651</v>
      </c>
      <c r="G112" s="52" t="s">
        <v>632</v>
      </c>
      <c r="H112" s="53" t="s">
        <v>638</v>
      </c>
    </row>
    <row r="113" spans="1:8" ht="15" customHeight="1" x14ac:dyDescent="0.3">
      <c r="A113" s="48">
        <v>45768</v>
      </c>
      <c r="B113" s="49" t="s">
        <v>640</v>
      </c>
      <c r="C113" s="49" t="s">
        <v>649</v>
      </c>
      <c r="D113" s="49">
        <v>4</v>
      </c>
      <c r="E113" s="49" t="s">
        <v>650</v>
      </c>
      <c r="F113" s="49" t="s">
        <v>651</v>
      </c>
      <c r="G113" s="49" t="s">
        <v>635</v>
      </c>
      <c r="H113" s="50"/>
    </row>
    <row r="114" spans="1:8" ht="15" customHeight="1" x14ac:dyDescent="0.3">
      <c r="A114" s="48">
        <v>45769</v>
      </c>
      <c r="B114" s="49" t="s">
        <v>641</v>
      </c>
      <c r="C114" s="49" t="s">
        <v>649</v>
      </c>
      <c r="D114" s="49">
        <v>4</v>
      </c>
      <c r="E114" s="49" t="s">
        <v>650</v>
      </c>
      <c r="F114" s="49" t="s">
        <v>651</v>
      </c>
      <c r="G114" s="49" t="s">
        <v>635</v>
      </c>
      <c r="H114" s="50"/>
    </row>
    <row r="115" spans="1:8" ht="15" customHeight="1" x14ac:dyDescent="0.3">
      <c r="A115" s="48">
        <v>45770</v>
      </c>
      <c r="B115" s="49" t="s">
        <v>628</v>
      </c>
      <c r="C115" s="49" t="s">
        <v>649</v>
      </c>
      <c r="D115" s="49">
        <v>4</v>
      </c>
      <c r="E115" s="49" t="s">
        <v>650</v>
      </c>
      <c r="F115" s="49" t="s">
        <v>651</v>
      </c>
      <c r="G115" s="49" t="s">
        <v>635</v>
      </c>
      <c r="H115" s="50"/>
    </row>
    <row r="116" spans="1:8" ht="15" customHeight="1" x14ac:dyDescent="0.3">
      <c r="A116" s="48">
        <v>45771</v>
      </c>
      <c r="B116" s="49" t="s">
        <v>634</v>
      </c>
      <c r="C116" s="49" t="s">
        <v>649</v>
      </c>
      <c r="D116" s="49">
        <v>4</v>
      </c>
      <c r="E116" s="49" t="s">
        <v>650</v>
      </c>
      <c r="F116" s="49" t="s">
        <v>651</v>
      </c>
      <c r="G116" s="49" t="s">
        <v>635</v>
      </c>
      <c r="H116" s="50"/>
    </row>
    <row r="117" spans="1:8" ht="15" customHeight="1" x14ac:dyDescent="0.3">
      <c r="A117" s="48">
        <v>45772</v>
      </c>
      <c r="B117" s="49" t="s">
        <v>636</v>
      </c>
      <c r="C117" s="49" t="s">
        <v>649</v>
      </c>
      <c r="D117" s="49">
        <v>4</v>
      </c>
      <c r="E117" s="49" t="s">
        <v>650</v>
      </c>
      <c r="F117" s="49" t="s">
        <v>651</v>
      </c>
      <c r="G117" s="49" t="s">
        <v>635</v>
      </c>
      <c r="H117" s="50"/>
    </row>
    <row r="118" spans="1:8" ht="15" customHeight="1" x14ac:dyDescent="0.3">
      <c r="A118" s="51">
        <v>45773</v>
      </c>
      <c r="B118" s="52" t="s">
        <v>637</v>
      </c>
      <c r="C118" s="52" t="s">
        <v>649</v>
      </c>
      <c r="D118" s="52">
        <v>4</v>
      </c>
      <c r="E118" s="52" t="s">
        <v>650</v>
      </c>
      <c r="F118" s="52" t="s">
        <v>651</v>
      </c>
      <c r="G118" s="52" t="s">
        <v>632</v>
      </c>
      <c r="H118" s="53" t="s">
        <v>638</v>
      </c>
    </row>
    <row r="119" spans="1:8" ht="15" customHeight="1" x14ac:dyDescent="0.3">
      <c r="A119" s="51">
        <v>45774</v>
      </c>
      <c r="B119" s="52" t="s">
        <v>639</v>
      </c>
      <c r="C119" s="52" t="s">
        <v>649</v>
      </c>
      <c r="D119" s="52">
        <v>4</v>
      </c>
      <c r="E119" s="52" t="s">
        <v>650</v>
      </c>
      <c r="F119" s="52" t="s">
        <v>651</v>
      </c>
      <c r="G119" s="52" t="s">
        <v>632</v>
      </c>
      <c r="H119" s="53" t="s">
        <v>638</v>
      </c>
    </row>
    <row r="120" spans="1:8" ht="15" customHeight="1" x14ac:dyDescent="0.3">
      <c r="A120" s="48">
        <v>45775</v>
      </c>
      <c r="B120" s="49" t="s">
        <v>640</v>
      </c>
      <c r="C120" s="49" t="s">
        <v>649</v>
      </c>
      <c r="D120" s="49">
        <v>4</v>
      </c>
      <c r="E120" s="49" t="s">
        <v>650</v>
      </c>
      <c r="F120" s="49" t="s">
        <v>651</v>
      </c>
      <c r="G120" s="49" t="s">
        <v>635</v>
      </c>
      <c r="H120" s="50"/>
    </row>
    <row r="121" spans="1:8" ht="15" customHeight="1" x14ac:dyDescent="0.3">
      <c r="A121" s="48">
        <v>45776</v>
      </c>
      <c r="B121" s="49" t="s">
        <v>641</v>
      </c>
      <c r="C121" s="49" t="s">
        <v>649</v>
      </c>
      <c r="D121" s="49">
        <v>4</v>
      </c>
      <c r="E121" s="49" t="s">
        <v>650</v>
      </c>
      <c r="F121" s="49" t="s">
        <v>651</v>
      </c>
      <c r="G121" s="49" t="s">
        <v>635</v>
      </c>
      <c r="H121" s="50"/>
    </row>
    <row r="122" spans="1:8" ht="15" customHeight="1" x14ac:dyDescent="0.3">
      <c r="A122" s="48">
        <v>45777</v>
      </c>
      <c r="B122" s="49" t="s">
        <v>628</v>
      </c>
      <c r="C122" s="49" t="s">
        <v>649</v>
      </c>
      <c r="D122" s="49">
        <v>4</v>
      </c>
      <c r="E122" s="49" t="s">
        <v>650</v>
      </c>
      <c r="F122" s="49" t="s">
        <v>651</v>
      </c>
      <c r="G122" s="49" t="s">
        <v>635</v>
      </c>
      <c r="H122" s="50"/>
    </row>
    <row r="123" spans="1:8" ht="15" customHeight="1" x14ac:dyDescent="0.3">
      <c r="A123" s="45">
        <v>45778</v>
      </c>
      <c r="B123" s="46" t="s">
        <v>634</v>
      </c>
      <c r="C123" s="46" t="s">
        <v>8</v>
      </c>
      <c r="D123" s="46">
        <v>5</v>
      </c>
      <c r="E123" s="46" t="s">
        <v>650</v>
      </c>
      <c r="F123" s="46" t="s">
        <v>653</v>
      </c>
      <c r="G123" s="46" t="s">
        <v>632</v>
      </c>
      <c r="H123" s="47" t="s">
        <v>654</v>
      </c>
    </row>
    <row r="124" spans="1:8" ht="15" customHeight="1" x14ac:dyDescent="0.3">
      <c r="A124" s="48">
        <v>45779</v>
      </c>
      <c r="B124" s="49" t="s">
        <v>636</v>
      </c>
      <c r="C124" s="49" t="s">
        <v>8</v>
      </c>
      <c r="D124" s="49">
        <v>5</v>
      </c>
      <c r="E124" s="49" t="s">
        <v>650</v>
      </c>
      <c r="F124" s="49" t="s">
        <v>653</v>
      </c>
      <c r="G124" s="49" t="s">
        <v>635</v>
      </c>
      <c r="H124" s="50"/>
    </row>
    <row r="125" spans="1:8" ht="15" customHeight="1" x14ac:dyDescent="0.3">
      <c r="A125" s="51">
        <v>45780</v>
      </c>
      <c r="B125" s="52" t="s">
        <v>637</v>
      </c>
      <c r="C125" s="52" t="s">
        <v>8</v>
      </c>
      <c r="D125" s="52">
        <v>5</v>
      </c>
      <c r="E125" s="52" t="s">
        <v>650</v>
      </c>
      <c r="F125" s="52" t="s">
        <v>653</v>
      </c>
      <c r="G125" s="52" t="s">
        <v>632</v>
      </c>
      <c r="H125" s="53" t="s">
        <v>638</v>
      </c>
    </row>
    <row r="126" spans="1:8" ht="15" customHeight="1" x14ac:dyDescent="0.3">
      <c r="A126" s="51">
        <v>45781</v>
      </c>
      <c r="B126" s="52" t="s">
        <v>639</v>
      </c>
      <c r="C126" s="52" t="s">
        <v>8</v>
      </c>
      <c r="D126" s="52">
        <v>5</v>
      </c>
      <c r="E126" s="52" t="s">
        <v>650</v>
      </c>
      <c r="F126" s="52" t="s">
        <v>653</v>
      </c>
      <c r="G126" s="52" t="s">
        <v>632</v>
      </c>
      <c r="H126" s="53" t="s">
        <v>638</v>
      </c>
    </row>
    <row r="127" spans="1:8" ht="15" customHeight="1" x14ac:dyDescent="0.3">
      <c r="A127" s="48">
        <v>45782</v>
      </c>
      <c r="B127" s="49" t="s">
        <v>640</v>
      </c>
      <c r="C127" s="49" t="s">
        <v>8</v>
      </c>
      <c r="D127" s="49">
        <v>5</v>
      </c>
      <c r="E127" s="49" t="s">
        <v>650</v>
      </c>
      <c r="F127" s="49" t="s">
        <v>653</v>
      </c>
      <c r="G127" s="49" t="s">
        <v>635</v>
      </c>
      <c r="H127" s="50"/>
    </row>
    <row r="128" spans="1:8" ht="15" customHeight="1" x14ac:dyDescent="0.3">
      <c r="A128" s="48">
        <v>45783</v>
      </c>
      <c r="B128" s="49" t="s">
        <v>641</v>
      </c>
      <c r="C128" s="49" t="s">
        <v>8</v>
      </c>
      <c r="D128" s="49">
        <v>5</v>
      </c>
      <c r="E128" s="49" t="s">
        <v>650</v>
      </c>
      <c r="F128" s="49" t="s">
        <v>653</v>
      </c>
      <c r="G128" s="49" t="s">
        <v>635</v>
      </c>
      <c r="H128" s="50"/>
    </row>
    <row r="129" spans="1:8" ht="15" customHeight="1" x14ac:dyDescent="0.3">
      <c r="A129" s="48">
        <v>45784</v>
      </c>
      <c r="B129" s="49" t="s">
        <v>628</v>
      </c>
      <c r="C129" s="49" t="s">
        <v>8</v>
      </c>
      <c r="D129" s="49">
        <v>5</v>
      </c>
      <c r="E129" s="49" t="s">
        <v>650</v>
      </c>
      <c r="F129" s="49" t="s">
        <v>653</v>
      </c>
      <c r="G129" s="49" t="s">
        <v>635</v>
      </c>
      <c r="H129" s="50"/>
    </row>
    <row r="130" spans="1:8" ht="15" customHeight="1" x14ac:dyDescent="0.3">
      <c r="A130" s="48">
        <v>45785</v>
      </c>
      <c r="B130" s="49" t="s">
        <v>634</v>
      </c>
      <c r="C130" s="49" t="s">
        <v>8</v>
      </c>
      <c r="D130" s="49">
        <v>5</v>
      </c>
      <c r="E130" s="49" t="s">
        <v>650</v>
      </c>
      <c r="F130" s="49" t="s">
        <v>653</v>
      </c>
      <c r="G130" s="49" t="s">
        <v>635</v>
      </c>
      <c r="H130" s="50"/>
    </row>
    <row r="131" spans="1:8" ht="15" customHeight="1" x14ac:dyDescent="0.3">
      <c r="A131" s="48">
        <v>45786</v>
      </c>
      <c r="B131" s="49" t="s">
        <v>636</v>
      </c>
      <c r="C131" s="49" t="s">
        <v>8</v>
      </c>
      <c r="D131" s="49">
        <v>5</v>
      </c>
      <c r="E131" s="49" t="s">
        <v>650</v>
      </c>
      <c r="F131" s="49" t="s">
        <v>653</v>
      </c>
      <c r="G131" s="49" t="s">
        <v>635</v>
      </c>
      <c r="H131" s="50"/>
    </row>
    <row r="132" spans="1:8" ht="15" customHeight="1" x14ac:dyDescent="0.3">
      <c r="A132" s="51">
        <v>45787</v>
      </c>
      <c r="B132" s="52" t="s">
        <v>637</v>
      </c>
      <c r="C132" s="52" t="s">
        <v>8</v>
      </c>
      <c r="D132" s="52">
        <v>5</v>
      </c>
      <c r="E132" s="52" t="s">
        <v>650</v>
      </c>
      <c r="F132" s="52" t="s">
        <v>653</v>
      </c>
      <c r="G132" s="52" t="s">
        <v>632</v>
      </c>
      <c r="H132" s="53" t="s">
        <v>638</v>
      </c>
    </row>
    <row r="133" spans="1:8" ht="15" customHeight="1" x14ac:dyDescent="0.3">
      <c r="A133" s="51">
        <v>45788</v>
      </c>
      <c r="B133" s="52" t="s">
        <v>639</v>
      </c>
      <c r="C133" s="52" t="s">
        <v>8</v>
      </c>
      <c r="D133" s="52">
        <v>5</v>
      </c>
      <c r="E133" s="52" t="s">
        <v>650</v>
      </c>
      <c r="F133" s="52" t="s">
        <v>653</v>
      </c>
      <c r="G133" s="52" t="s">
        <v>632</v>
      </c>
      <c r="H133" s="53" t="s">
        <v>638</v>
      </c>
    </row>
    <row r="134" spans="1:8" ht="15" customHeight="1" x14ac:dyDescent="0.3">
      <c r="A134" s="45">
        <v>45789</v>
      </c>
      <c r="B134" s="46" t="s">
        <v>640</v>
      </c>
      <c r="C134" s="46" t="s">
        <v>8</v>
      </c>
      <c r="D134" s="46">
        <v>5</v>
      </c>
      <c r="E134" s="46" t="s">
        <v>650</v>
      </c>
      <c r="F134" s="46" t="s">
        <v>653</v>
      </c>
      <c r="G134" s="46" t="s">
        <v>632</v>
      </c>
      <c r="H134" s="47" t="s">
        <v>655</v>
      </c>
    </row>
    <row r="135" spans="1:8" ht="15" customHeight="1" x14ac:dyDescent="0.3">
      <c r="A135" s="48">
        <v>45790</v>
      </c>
      <c r="B135" s="49" t="s">
        <v>641</v>
      </c>
      <c r="C135" s="49" t="s">
        <v>8</v>
      </c>
      <c r="D135" s="49">
        <v>5</v>
      </c>
      <c r="E135" s="49" t="s">
        <v>650</v>
      </c>
      <c r="F135" s="49" t="s">
        <v>653</v>
      </c>
      <c r="G135" s="49" t="s">
        <v>635</v>
      </c>
      <c r="H135" s="50"/>
    </row>
    <row r="136" spans="1:8" ht="15" customHeight="1" x14ac:dyDescent="0.3">
      <c r="A136" s="48">
        <v>45791</v>
      </c>
      <c r="B136" s="49" t="s">
        <v>628</v>
      </c>
      <c r="C136" s="49" t="s">
        <v>8</v>
      </c>
      <c r="D136" s="49">
        <v>5</v>
      </c>
      <c r="E136" s="49" t="s">
        <v>650</v>
      </c>
      <c r="F136" s="49" t="s">
        <v>653</v>
      </c>
      <c r="G136" s="49" t="s">
        <v>635</v>
      </c>
      <c r="H136" s="50"/>
    </row>
    <row r="137" spans="1:8" ht="15" customHeight="1" x14ac:dyDescent="0.3">
      <c r="A137" s="48">
        <v>45792</v>
      </c>
      <c r="B137" s="49" t="s">
        <v>634</v>
      </c>
      <c r="C137" s="49" t="s">
        <v>8</v>
      </c>
      <c r="D137" s="49">
        <v>5</v>
      </c>
      <c r="E137" s="49" t="s">
        <v>650</v>
      </c>
      <c r="F137" s="49" t="s">
        <v>653</v>
      </c>
      <c r="G137" s="49" t="s">
        <v>635</v>
      </c>
      <c r="H137" s="50"/>
    </row>
    <row r="138" spans="1:8" ht="15" customHeight="1" x14ac:dyDescent="0.3">
      <c r="A138" s="48">
        <v>45793</v>
      </c>
      <c r="B138" s="49" t="s">
        <v>636</v>
      </c>
      <c r="C138" s="49" t="s">
        <v>8</v>
      </c>
      <c r="D138" s="49">
        <v>5</v>
      </c>
      <c r="E138" s="49" t="s">
        <v>650</v>
      </c>
      <c r="F138" s="49" t="s">
        <v>653</v>
      </c>
      <c r="G138" s="49" t="s">
        <v>635</v>
      </c>
      <c r="H138" s="50"/>
    </row>
    <row r="139" spans="1:8" ht="15" customHeight="1" x14ac:dyDescent="0.3">
      <c r="A139" s="51">
        <v>45794</v>
      </c>
      <c r="B139" s="52" t="s">
        <v>637</v>
      </c>
      <c r="C139" s="52" t="s">
        <v>8</v>
      </c>
      <c r="D139" s="52">
        <v>5</v>
      </c>
      <c r="E139" s="52" t="s">
        <v>650</v>
      </c>
      <c r="F139" s="52" t="s">
        <v>653</v>
      </c>
      <c r="G139" s="52" t="s">
        <v>632</v>
      </c>
      <c r="H139" s="53" t="s">
        <v>638</v>
      </c>
    </row>
    <row r="140" spans="1:8" ht="15" customHeight="1" x14ac:dyDescent="0.3">
      <c r="A140" s="51">
        <v>45795</v>
      </c>
      <c r="B140" s="52" t="s">
        <v>639</v>
      </c>
      <c r="C140" s="52" t="s">
        <v>8</v>
      </c>
      <c r="D140" s="52">
        <v>5</v>
      </c>
      <c r="E140" s="52" t="s">
        <v>650</v>
      </c>
      <c r="F140" s="52" t="s">
        <v>653</v>
      </c>
      <c r="G140" s="52" t="s">
        <v>632</v>
      </c>
      <c r="H140" s="53" t="s">
        <v>638</v>
      </c>
    </row>
    <row r="141" spans="1:8" ht="15" customHeight="1" x14ac:dyDescent="0.3">
      <c r="A141" s="48">
        <v>45796</v>
      </c>
      <c r="B141" s="49" t="s">
        <v>640</v>
      </c>
      <c r="C141" s="49" t="s">
        <v>8</v>
      </c>
      <c r="D141" s="49">
        <v>5</v>
      </c>
      <c r="E141" s="49" t="s">
        <v>650</v>
      </c>
      <c r="F141" s="49" t="s">
        <v>653</v>
      </c>
      <c r="G141" s="49" t="s">
        <v>635</v>
      </c>
      <c r="H141" s="50"/>
    </row>
    <row r="142" spans="1:8" ht="15" customHeight="1" x14ac:dyDescent="0.3">
      <c r="A142" s="48">
        <v>45797</v>
      </c>
      <c r="B142" s="49" t="s">
        <v>641</v>
      </c>
      <c r="C142" s="49" t="s">
        <v>8</v>
      </c>
      <c r="D142" s="49">
        <v>5</v>
      </c>
      <c r="E142" s="49" t="s">
        <v>650</v>
      </c>
      <c r="F142" s="49" t="s">
        <v>653</v>
      </c>
      <c r="G142" s="49" t="s">
        <v>635</v>
      </c>
      <c r="H142" s="50"/>
    </row>
    <row r="143" spans="1:8" ht="15" customHeight="1" x14ac:dyDescent="0.3">
      <c r="A143" s="48">
        <v>45798</v>
      </c>
      <c r="B143" s="49" t="s">
        <v>628</v>
      </c>
      <c r="C143" s="49" t="s">
        <v>8</v>
      </c>
      <c r="D143" s="49">
        <v>5</v>
      </c>
      <c r="E143" s="49" t="s">
        <v>650</v>
      </c>
      <c r="F143" s="49" t="s">
        <v>653</v>
      </c>
      <c r="G143" s="49" t="s">
        <v>635</v>
      </c>
      <c r="H143" s="50"/>
    </row>
    <row r="144" spans="1:8" ht="15" customHeight="1" x14ac:dyDescent="0.3">
      <c r="A144" s="48">
        <v>45799</v>
      </c>
      <c r="B144" s="49" t="s">
        <v>634</v>
      </c>
      <c r="C144" s="49" t="s">
        <v>8</v>
      </c>
      <c r="D144" s="49">
        <v>5</v>
      </c>
      <c r="E144" s="49" t="s">
        <v>650</v>
      </c>
      <c r="F144" s="49" t="s">
        <v>653</v>
      </c>
      <c r="G144" s="49" t="s">
        <v>635</v>
      </c>
      <c r="H144" s="50"/>
    </row>
    <row r="145" spans="1:8" ht="15" customHeight="1" x14ac:dyDescent="0.3">
      <c r="A145" s="48">
        <v>45800</v>
      </c>
      <c r="B145" s="49" t="s">
        <v>636</v>
      </c>
      <c r="C145" s="49" t="s">
        <v>8</v>
      </c>
      <c r="D145" s="49">
        <v>5</v>
      </c>
      <c r="E145" s="49" t="s">
        <v>650</v>
      </c>
      <c r="F145" s="49" t="s">
        <v>653</v>
      </c>
      <c r="G145" s="49" t="s">
        <v>635</v>
      </c>
      <c r="H145" s="50"/>
    </row>
    <row r="146" spans="1:8" ht="15" customHeight="1" x14ac:dyDescent="0.3">
      <c r="A146" s="51">
        <v>45801</v>
      </c>
      <c r="B146" s="52" t="s">
        <v>637</v>
      </c>
      <c r="C146" s="52" t="s">
        <v>8</v>
      </c>
      <c r="D146" s="52">
        <v>5</v>
      </c>
      <c r="E146" s="52" t="s">
        <v>650</v>
      </c>
      <c r="F146" s="52" t="s">
        <v>653</v>
      </c>
      <c r="G146" s="52" t="s">
        <v>632</v>
      </c>
      <c r="H146" s="53" t="s">
        <v>638</v>
      </c>
    </row>
    <row r="147" spans="1:8" ht="15" customHeight="1" x14ac:dyDescent="0.3">
      <c r="A147" s="51">
        <v>45802</v>
      </c>
      <c r="B147" s="52" t="s">
        <v>639</v>
      </c>
      <c r="C147" s="52" t="s">
        <v>8</v>
      </c>
      <c r="D147" s="52">
        <v>5</v>
      </c>
      <c r="E147" s="52" t="s">
        <v>650</v>
      </c>
      <c r="F147" s="52" t="s">
        <v>653</v>
      </c>
      <c r="G147" s="52" t="s">
        <v>632</v>
      </c>
      <c r="H147" s="53" t="s">
        <v>638</v>
      </c>
    </row>
    <row r="148" spans="1:8" ht="15" customHeight="1" x14ac:dyDescent="0.3">
      <c r="A148" s="48">
        <v>45803</v>
      </c>
      <c r="B148" s="49" t="s">
        <v>640</v>
      </c>
      <c r="C148" s="49" t="s">
        <v>8</v>
      </c>
      <c r="D148" s="49">
        <v>5</v>
      </c>
      <c r="E148" s="49" t="s">
        <v>650</v>
      </c>
      <c r="F148" s="49" t="s">
        <v>653</v>
      </c>
      <c r="G148" s="49" t="s">
        <v>635</v>
      </c>
      <c r="H148" s="50"/>
    </row>
    <row r="149" spans="1:8" ht="15" customHeight="1" x14ac:dyDescent="0.3">
      <c r="A149" s="48">
        <v>45804</v>
      </c>
      <c r="B149" s="49" t="s">
        <v>641</v>
      </c>
      <c r="C149" s="49" t="s">
        <v>8</v>
      </c>
      <c r="D149" s="49">
        <v>5</v>
      </c>
      <c r="E149" s="49" t="s">
        <v>650</v>
      </c>
      <c r="F149" s="49" t="s">
        <v>653</v>
      </c>
      <c r="G149" s="49" t="s">
        <v>635</v>
      </c>
      <c r="H149" s="50"/>
    </row>
    <row r="150" spans="1:8" ht="15" customHeight="1" x14ac:dyDescent="0.3">
      <c r="A150" s="48">
        <v>45805</v>
      </c>
      <c r="B150" s="49" t="s">
        <v>628</v>
      </c>
      <c r="C150" s="49" t="s">
        <v>8</v>
      </c>
      <c r="D150" s="49">
        <v>5</v>
      </c>
      <c r="E150" s="49" t="s">
        <v>650</v>
      </c>
      <c r="F150" s="49" t="s">
        <v>653</v>
      </c>
      <c r="G150" s="49" t="s">
        <v>635</v>
      </c>
      <c r="H150" s="50"/>
    </row>
    <row r="151" spans="1:8" ht="15" customHeight="1" x14ac:dyDescent="0.3">
      <c r="A151" s="48">
        <v>45806</v>
      </c>
      <c r="B151" s="49" t="s">
        <v>634</v>
      </c>
      <c r="C151" s="49" t="s">
        <v>8</v>
      </c>
      <c r="D151" s="49">
        <v>5</v>
      </c>
      <c r="E151" s="49" t="s">
        <v>650</v>
      </c>
      <c r="F151" s="49" t="s">
        <v>653</v>
      </c>
      <c r="G151" s="49" t="s">
        <v>635</v>
      </c>
      <c r="H151" s="50"/>
    </row>
    <row r="152" spans="1:8" ht="15" customHeight="1" x14ac:dyDescent="0.3">
      <c r="A152" s="48">
        <v>45807</v>
      </c>
      <c r="B152" s="49" t="s">
        <v>636</v>
      </c>
      <c r="C152" s="49" t="s">
        <v>8</v>
      </c>
      <c r="D152" s="49">
        <v>5</v>
      </c>
      <c r="E152" s="49" t="s">
        <v>650</v>
      </c>
      <c r="F152" s="49" t="s">
        <v>653</v>
      </c>
      <c r="G152" s="49" t="s">
        <v>635</v>
      </c>
      <c r="H152" s="50"/>
    </row>
    <row r="153" spans="1:8" ht="15" customHeight="1" x14ac:dyDescent="0.3">
      <c r="A153" s="51">
        <v>45808</v>
      </c>
      <c r="B153" s="52" t="s">
        <v>637</v>
      </c>
      <c r="C153" s="52" t="s">
        <v>8</v>
      </c>
      <c r="D153" s="52">
        <v>5</v>
      </c>
      <c r="E153" s="52" t="s">
        <v>650</v>
      </c>
      <c r="F153" s="52" t="s">
        <v>653</v>
      </c>
      <c r="G153" s="52" t="s">
        <v>632</v>
      </c>
      <c r="H153" s="53" t="s">
        <v>638</v>
      </c>
    </row>
    <row r="154" spans="1:8" ht="15" customHeight="1" x14ac:dyDescent="0.3">
      <c r="A154" s="51">
        <v>45809</v>
      </c>
      <c r="B154" s="52" t="s">
        <v>639</v>
      </c>
      <c r="C154" s="52" t="s">
        <v>656</v>
      </c>
      <c r="D154" s="52">
        <v>6</v>
      </c>
      <c r="E154" s="52" t="s">
        <v>650</v>
      </c>
      <c r="F154" s="52" t="s">
        <v>657</v>
      </c>
      <c r="G154" s="52" t="s">
        <v>632</v>
      </c>
      <c r="H154" s="53" t="s">
        <v>638</v>
      </c>
    </row>
    <row r="155" spans="1:8" ht="15" customHeight="1" x14ac:dyDescent="0.3">
      <c r="A155" s="45">
        <v>45810</v>
      </c>
      <c r="B155" s="46" t="s">
        <v>640</v>
      </c>
      <c r="C155" s="46" t="s">
        <v>656</v>
      </c>
      <c r="D155" s="46">
        <v>6</v>
      </c>
      <c r="E155" s="46" t="s">
        <v>650</v>
      </c>
      <c r="F155" s="46" t="s">
        <v>657</v>
      </c>
      <c r="G155" s="46" t="s">
        <v>632</v>
      </c>
      <c r="H155" s="47" t="s">
        <v>658</v>
      </c>
    </row>
    <row r="156" spans="1:8" ht="15" customHeight="1" x14ac:dyDescent="0.3">
      <c r="A156" s="48">
        <v>45811</v>
      </c>
      <c r="B156" s="49" t="s">
        <v>641</v>
      </c>
      <c r="C156" s="49" t="s">
        <v>656</v>
      </c>
      <c r="D156" s="49">
        <v>6</v>
      </c>
      <c r="E156" s="49" t="s">
        <v>650</v>
      </c>
      <c r="F156" s="49" t="s">
        <v>657</v>
      </c>
      <c r="G156" s="49" t="s">
        <v>635</v>
      </c>
      <c r="H156" s="50"/>
    </row>
    <row r="157" spans="1:8" ht="15" customHeight="1" x14ac:dyDescent="0.3">
      <c r="A157" s="48">
        <v>45812</v>
      </c>
      <c r="B157" s="49" t="s">
        <v>628</v>
      </c>
      <c r="C157" s="49" t="s">
        <v>656</v>
      </c>
      <c r="D157" s="49">
        <v>6</v>
      </c>
      <c r="E157" s="49" t="s">
        <v>650</v>
      </c>
      <c r="F157" s="49" t="s">
        <v>657</v>
      </c>
      <c r="G157" s="49" t="s">
        <v>635</v>
      </c>
      <c r="H157" s="50"/>
    </row>
    <row r="158" spans="1:8" ht="15" customHeight="1" x14ac:dyDescent="0.3">
      <c r="A158" s="48">
        <v>45813</v>
      </c>
      <c r="B158" s="49" t="s">
        <v>634</v>
      </c>
      <c r="C158" s="49" t="s">
        <v>656</v>
      </c>
      <c r="D158" s="49">
        <v>6</v>
      </c>
      <c r="E158" s="49" t="s">
        <v>650</v>
      </c>
      <c r="F158" s="49" t="s">
        <v>657</v>
      </c>
      <c r="G158" s="49" t="s">
        <v>635</v>
      </c>
      <c r="H158" s="50"/>
    </row>
    <row r="159" spans="1:8" ht="15" customHeight="1" x14ac:dyDescent="0.3">
      <c r="A159" s="48">
        <v>45814</v>
      </c>
      <c r="B159" s="49" t="s">
        <v>636</v>
      </c>
      <c r="C159" s="49" t="s">
        <v>656</v>
      </c>
      <c r="D159" s="49">
        <v>6</v>
      </c>
      <c r="E159" s="49" t="s">
        <v>650</v>
      </c>
      <c r="F159" s="49" t="s">
        <v>657</v>
      </c>
      <c r="G159" s="49" t="s">
        <v>635</v>
      </c>
      <c r="H159" s="50"/>
    </row>
    <row r="160" spans="1:8" ht="15" customHeight="1" x14ac:dyDescent="0.3">
      <c r="A160" s="45">
        <v>45815</v>
      </c>
      <c r="B160" s="46" t="s">
        <v>637</v>
      </c>
      <c r="C160" s="46" t="s">
        <v>656</v>
      </c>
      <c r="D160" s="46">
        <v>6</v>
      </c>
      <c r="E160" s="46" t="s">
        <v>650</v>
      </c>
      <c r="F160" s="46" t="s">
        <v>657</v>
      </c>
      <c r="G160" s="46" t="s">
        <v>632</v>
      </c>
      <c r="H160" s="47" t="s">
        <v>659</v>
      </c>
    </row>
    <row r="161" spans="1:8" ht="15" customHeight="1" x14ac:dyDescent="0.3">
      <c r="A161" s="51">
        <v>45816</v>
      </c>
      <c r="B161" s="52" t="s">
        <v>639</v>
      </c>
      <c r="C161" s="52" t="s">
        <v>656</v>
      </c>
      <c r="D161" s="52">
        <v>6</v>
      </c>
      <c r="E161" s="52" t="s">
        <v>650</v>
      </c>
      <c r="F161" s="52" t="s">
        <v>657</v>
      </c>
      <c r="G161" s="52" t="s">
        <v>632</v>
      </c>
      <c r="H161" s="53" t="s">
        <v>638</v>
      </c>
    </row>
    <row r="162" spans="1:8" ht="15" customHeight="1" x14ac:dyDescent="0.3">
      <c r="A162" s="48">
        <v>45817</v>
      </c>
      <c r="B162" s="49" t="s">
        <v>640</v>
      </c>
      <c r="C162" s="49" t="s">
        <v>656</v>
      </c>
      <c r="D162" s="49">
        <v>6</v>
      </c>
      <c r="E162" s="49" t="s">
        <v>650</v>
      </c>
      <c r="F162" s="49" t="s">
        <v>657</v>
      </c>
      <c r="G162" s="49" t="s">
        <v>635</v>
      </c>
      <c r="H162" s="50"/>
    </row>
    <row r="163" spans="1:8" ht="15" customHeight="1" x14ac:dyDescent="0.3">
      <c r="A163" s="48">
        <v>45818</v>
      </c>
      <c r="B163" s="49" t="s">
        <v>641</v>
      </c>
      <c r="C163" s="49" t="s">
        <v>656</v>
      </c>
      <c r="D163" s="49">
        <v>6</v>
      </c>
      <c r="E163" s="49" t="s">
        <v>650</v>
      </c>
      <c r="F163" s="49" t="s">
        <v>657</v>
      </c>
      <c r="G163" s="49" t="s">
        <v>635</v>
      </c>
      <c r="H163" s="50"/>
    </row>
    <row r="164" spans="1:8" ht="15" customHeight="1" x14ac:dyDescent="0.3">
      <c r="A164" s="48">
        <v>45819</v>
      </c>
      <c r="B164" s="49" t="s">
        <v>628</v>
      </c>
      <c r="C164" s="49" t="s">
        <v>656</v>
      </c>
      <c r="D164" s="49">
        <v>6</v>
      </c>
      <c r="E164" s="49" t="s">
        <v>650</v>
      </c>
      <c r="F164" s="49" t="s">
        <v>657</v>
      </c>
      <c r="G164" s="49" t="s">
        <v>635</v>
      </c>
      <c r="H164" s="50"/>
    </row>
    <row r="165" spans="1:8" ht="15" customHeight="1" x14ac:dyDescent="0.3">
      <c r="A165" s="48">
        <v>45820</v>
      </c>
      <c r="B165" s="49" t="s">
        <v>634</v>
      </c>
      <c r="C165" s="49" t="s">
        <v>656</v>
      </c>
      <c r="D165" s="49">
        <v>6</v>
      </c>
      <c r="E165" s="49" t="s">
        <v>650</v>
      </c>
      <c r="F165" s="49" t="s">
        <v>657</v>
      </c>
      <c r="G165" s="49" t="s">
        <v>635</v>
      </c>
      <c r="H165" s="50"/>
    </row>
    <row r="166" spans="1:8" ht="15" customHeight="1" x14ac:dyDescent="0.3">
      <c r="A166" s="48">
        <v>45821</v>
      </c>
      <c r="B166" s="49" t="s">
        <v>636</v>
      </c>
      <c r="C166" s="49" t="s">
        <v>656</v>
      </c>
      <c r="D166" s="49">
        <v>6</v>
      </c>
      <c r="E166" s="49" t="s">
        <v>650</v>
      </c>
      <c r="F166" s="49" t="s">
        <v>657</v>
      </c>
      <c r="G166" s="49" t="s">
        <v>635</v>
      </c>
      <c r="H166" s="50"/>
    </row>
    <row r="167" spans="1:8" ht="15" customHeight="1" x14ac:dyDescent="0.3">
      <c r="A167" s="51">
        <v>45822</v>
      </c>
      <c r="B167" s="52" t="s">
        <v>637</v>
      </c>
      <c r="C167" s="52" t="s">
        <v>656</v>
      </c>
      <c r="D167" s="52">
        <v>6</v>
      </c>
      <c r="E167" s="52" t="s">
        <v>650</v>
      </c>
      <c r="F167" s="52" t="s">
        <v>657</v>
      </c>
      <c r="G167" s="52" t="s">
        <v>632</v>
      </c>
      <c r="H167" s="53" t="s">
        <v>638</v>
      </c>
    </row>
    <row r="168" spans="1:8" ht="15" customHeight="1" x14ac:dyDescent="0.3">
      <c r="A168" s="51">
        <v>45823</v>
      </c>
      <c r="B168" s="52" t="s">
        <v>639</v>
      </c>
      <c r="C168" s="52" t="s">
        <v>656</v>
      </c>
      <c r="D168" s="52">
        <v>6</v>
      </c>
      <c r="E168" s="52" t="s">
        <v>650</v>
      </c>
      <c r="F168" s="52" t="s">
        <v>657</v>
      </c>
      <c r="G168" s="52" t="s">
        <v>632</v>
      </c>
      <c r="H168" s="53" t="s">
        <v>638</v>
      </c>
    </row>
    <row r="169" spans="1:8" ht="15" customHeight="1" x14ac:dyDescent="0.3">
      <c r="A169" s="48">
        <v>45824</v>
      </c>
      <c r="B169" s="49" t="s">
        <v>640</v>
      </c>
      <c r="C169" s="49" t="s">
        <v>656</v>
      </c>
      <c r="D169" s="49">
        <v>6</v>
      </c>
      <c r="E169" s="49" t="s">
        <v>650</v>
      </c>
      <c r="F169" s="49" t="s">
        <v>657</v>
      </c>
      <c r="G169" s="49" t="s">
        <v>635</v>
      </c>
      <c r="H169" s="50"/>
    </row>
    <row r="170" spans="1:8" ht="15" customHeight="1" x14ac:dyDescent="0.3">
      <c r="A170" s="48">
        <v>45825</v>
      </c>
      <c r="B170" s="49" t="s">
        <v>641</v>
      </c>
      <c r="C170" s="49" t="s">
        <v>656</v>
      </c>
      <c r="D170" s="49">
        <v>6</v>
      </c>
      <c r="E170" s="49" t="s">
        <v>650</v>
      </c>
      <c r="F170" s="49" t="s">
        <v>657</v>
      </c>
      <c r="G170" s="49" t="s">
        <v>635</v>
      </c>
      <c r="H170" s="50"/>
    </row>
    <row r="171" spans="1:8" ht="15" customHeight="1" x14ac:dyDescent="0.3">
      <c r="A171" s="48">
        <v>45826</v>
      </c>
      <c r="B171" s="49" t="s">
        <v>628</v>
      </c>
      <c r="C171" s="49" t="s">
        <v>656</v>
      </c>
      <c r="D171" s="49">
        <v>6</v>
      </c>
      <c r="E171" s="49" t="s">
        <v>650</v>
      </c>
      <c r="F171" s="49" t="s">
        <v>657</v>
      </c>
      <c r="G171" s="49" t="s">
        <v>635</v>
      </c>
      <c r="H171" s="50"/>
    </row>
    <row r="172" spans="1:8" ht="15" customHeight="1" x14ac:dyDescent="0.3">
      <c r="A172" s="48">
        <v>45827</v>
      </c>
      <c r="B172" s="49" t="s">
        <v>634</v>
      </c>
      <c r="C172" s="49" t="s">
        <v>656</v>
      </c>
      <c r="D172" s="49">
        <v>6</v>
      </c>
      <c r="E172" s="49" t="s">
        <v>650</v>
      </c>
      <c r="F172" s="49" t="s">
        <v>657</v>
      </c>
      <c r="G172" s="49" t="s">
        <v>635</v>
      </c>
      <c r="H172" s="50"/>
    </row>
    <row r="173" spans="1:8" ht="15" customHeight="1" x14ac:dyDescent="0.3">
      <c r="A173" s="48">
        <v>45828</v>
      </c>
      <c r="B173" s="49" t="s">
        <v>636</v>
      </c>
      <c r="C173" s="49" t="s">
        <v>656</v>
      </c>
      <c r="D173" s="49">
        <v>6</v>
      </c>
      <c r="E173" s="49" t="s">
        <v>650</v>
      </c>
      <c r="F173" s="49" t="s">
        <v>657</v>
      </c>
      <c r="G173" s="49" t="s">
        <v>635</v>
      </c>
      <c r="H173" s="50"/>
    </row>
    <row r="174" spans="1:8" ht="15" customHeight="1" x14ac:dyDescent="0.3">
      <c r="A174" s="51">
        <v>45829</v>
      </c>
      <c r="B174" s="52" t="s">
        <v>637</v>
      </c>
      <c r="C174" s="52" t="s">
        <v>656</v>
      </c>
      <c r="D174" s="52">
        <v>6</v>
      </c>
      <c r="E174" s="52" t="s">
        <v>650</v>
      </c>
      <c r="F174" s="52" t="s">
        <v>657</v>
      </c>
      <c r="G174" s="52" t="s">
        <v>632</v>
      </c>
      <c r="H174" s="53" t="s">
        <v>638</v>
      </c>
    </row>
    <row r="175" spans="1:8" ht="15" customHeight="1" x14ac:dyDescent="0.3">
      <c r="A175" s="51">
        <v>45830</v>
      </c>
      <c r="B175" s="52" t="s">
        <v>639</v>
      </c>
      <c r="C175" s="52" t="s">
        <v>656</v>
      </c>
      <c r="D175" s="52">
        <v>6</v>
      </c>
      <c r="E175" s="52" t="s">
        <v>650</v>
      </c>
      <c r="F175" s="52" t="s">
        <v>657</v>
      </c>
      <c r="G175" s="52" t="s">
        <v>632</v>
      </c>
      <c r="H175" s="53" t="s">
        <v>638</v>
      </c>
    </row>
    <row r="176" spans="1:8" ht="15" customHeight="1" x14ac:dyDescent="0.3">
      <c r="A176" s="48">
        <v>45831</v>
      </c>
      <c r="B176" s="49" t="s">
        <v>640</v>
      </c>
      <c r="C176" s="49" t="s">
        <v>656</v>
      </c>
      <c r="D176" s="49">
        <v>6</v>
      </c>
      <c r="E176" s="49" t="s">
        <v>650</v>
      </c>
      <c r="F176" s="49" t="s">
        <v>657</v>
      </c>
      <c r="G176" s="49" t="s">
        <v>635</v>
      </c>
      <c r="H176" s="50"/>
    </row>
    <row r="177" spans="1:8" ht="15" customHeight="1" x14ac:dyDescent="0.3">
      <c r="A177" s="48">
        <v>45832</v>
      </c>
      <c r="B177" s="49" t="s">
        <v>641</v>
      </c>
      <c r="C177" s="49" t="s">
        <v>656</v>
      </c>
      <c r="D177" s="49">
        <v>6</v>
      </c>
      <c r="E177" s="49" t="s">
        <v>650</v>
      </c>
      <c r="F177" s="49" t="s">
        <v>657</v>
      </c>
      <c r="G177" s="49" t="s">
        <v>635</v>
      </c>
      <c r="H177" s="50"/>
    </row>
    <row r="178" spans="1:8" ht="15" customHeight="1" x14ac:dyDescent="0.3">
      <c r="A178" s="48">
        <v>45833</v>
      </c>
      <c r="B178" s="49" t="s">
        <v>628</v>
      </c>
      <c r="C178" s="49" t="s">
        <v>656</v>
      </c>
      <c r="D178" s="49">
        <v>6</v>
      </c>
      <c r="E178" s="49" t="s">
        <v>650</v>
      </c>
      <c r="F178" s="49" t="s">
        <v>657</v>
      </c>
      <c r="G178" s="49" t="s">
        <v>635</v>
      </c>
      <c r="H178" s="50"/>
    </row>
    <row r="179" spans="1:8" ht="15" customHeight="1" x14ac:dyDescent="0.3">
      <c r="A179" s="48">
        <v>45834</v>
      </c>
      <c r="B179" s="49" t="s">
        <v>634</v>
      </c>
      <c r="C179" s="49" t="s">
        <v>656</v>
      </c>
      <c r="D179" s="49">
        <v>6</v>
      </c>
      <c r="E179" s="49" t="s">
        <v>650</v>
      </c>
      <c r="F179" s="49" t="s">
        <v>657</v>
      </c>
      <c r="G179" s="49" t="s">
        <v>635</v>
      </c>
      <c r="H179" s="50"/>
    </row>
    <row r="180" spans="1:8" ht="15" customHeight="1" x14ac:dyDescent="0.3">
      <c r="A180" s="48">
        <v>45835</v>
      </c>
      <c r="B180" s="49" t="s">
        <v>636</v>
      </c>
      <c r="C180" s="49" t="s">
        <v>656</v>
      </c>
      <c r="D180" s="49">
        <v>6</v>
      </c>
      <c r="E180" s="49" t="s">
        <v>650</v>
      </c>
      <c r="F180" s="49" t="s">
        <v>657</v>
      </c>
      <c r="G180" s="49" t="s">
        <v>635</v>
      </c>
      <c r="H180" s="50"/>
    </row>
    <row r="181" spans="1:8" ht="15" customHeight="1" x14ac:dyDescent="0.3">
      <c r="A181" s="51">
        <v>45836</v>
      </c>
      <c r="B181" s="52" t="s">
        <v>637</v>
      </c>
      <c r="C181" s="52" t="s">
        <v>656</v>
      </c>
      <c r="D181" s="52">
        <v>6</v>
      </c>
      <c r="E181" s="52" t="s">
        <v>650</v>
      </c>
      <c r="F181" s="52" t="s">
        <v>657</v>
      </c>
      <c r="G181" s="52" t="s">
        <v>632</v>
      </c>
      <c r="H181" s="53" t="s">
        <v>638</v>
      </c>
    </row>
    <row r="182" spans="1:8" ht="15" customHeight="1" x14ac:dyDescent="0.3">
      <c r="A182" s="51">
        <v>45837</v>
      </c>
      <c r="B182" s="52" t="s">
        <v>639</v>
      </c>
      <c r="C182" s="52" t="s">
        <v>656</v>
      </c>
      <c r="D182" s="52">
        <v>6</v>
      </c>
      <c r="E182" s="52" t="s">
        <v>650</v>
      </c>
      <c r="F182" s="52" t="s">
        <v>657</v>
      </c>
      <c r="G182" s="52" t="s">
        <v>632</v>
      </c>
      <c r="H182" s="53" t="s">
        <v>638</v>
      </c>
    </row>
    <row r="183" spans="1:8" ht="15" customHeight="1" x14ac:dyDescent="0.3">
      <c r="A183" s="48">
        <v>45838</v>
      </c>
      <c r="B183" s="49" t="s">
        <v>640</v>
      </c>
      <c r="C183" s="49" t="s">
        <v>656</v>
      </c>
      <c r="D183" s="49">
        <v>6</v>
      </c>
      <c r="E183" s="49" t="s">
        <v>650</v>
      </c>
      <c r="F183" s="49" t="s">
        <v>657</v>
      </c>
      <c r="G183" s="49" t="s">
        <v>635</v>
      </c>
      <c r="H183" s="50"/>
    </row>
    <row r="184" spans="1:8" ht="15" customHeight="1" x14ac:dyDescent="0.3">
      <c r="A184" s="54">
        <v>45839</v>
      </c>
      <c r="B184" s="55" t="s">
        <v>641</v>
      </c>
      <c r="C184" s="55" t="s">
        <v>660</v>
      </c>
      <c r="D184" s="55">
        <v>7</v>
      </c>
      <c r="E184" s="55" t="s">
        <v>661</v>
      </c>
      <c r="F184" s="55" t="s">
        <v>662</v>
      </c>
      <c r="G184" s="55" t="s">
        <v>635</v>
      </c>
      <c r="H184" s="56"/>
    </row>
    <row r="185" spans="1:8" ht="15" customHeight="1" x14ac:dyDescent="0.3">
      <c r="A185" s="48">
        <v>45840</v>
      </c>
      <c r="B185" s="49" t="s">
        <v>628</v>
      </c>
      <c r="C185" s="49" t="s">
        <v>660</v>
      </c>
      <c r="D185" s="49">
        <v>7</v>
      </c>
      <c r="E185" s="49" t="s">
        <v>661</v>
      </c>
      <c r="F185" s="49" t="s">
        <v>662</v>
      </c>
      <c r="G185" s="49" t="s">
        <v>635</v>
      </c>
      <c r="H185" s="50"/>
    </row>
    <row r="186" spans="1:8" ht="15" customHeight="1" x14ac:dyDescent="0.3">
      <c r="A186" s="48">
        <v>45841</v>
      </c>
      <c r="B186" s="49" t="s">
        <v>634</v>
      </c>
      <c r="C186" s="49" t="s">
        <v>660</v>
      </c>
      <c r="D186" s="49">
        <v>7</v>
      </c>
      <c r="E186" s="49" t="s">
        <v>661</v>
      </c>
      <c r="F186" s="49" t="s">
        <v>662</v>
      </c>
      <c r="G186" s="49" t="s">
        <v>635</v>
      </c>
      <c r="H186" s="50"/>
    </row>
    <row r="187" spans="1:8" ht="15" customHeight="1" x14ac:dyDescent="0.3">
      <c r="A187" s="48">
        <v>45842</v>
      </c>
      <c r="B187" s="49" t="s">
        <v>636</v>
      </c>
      <c r="C187" s="49" t="s">
        <v>660</v>
      </c>
      <c r="D187" s="49">
        <v>7</v>
      </c>
      <c r="E187" s="49" t="s">
        <v>661</v>
      </c>
      <c r="F187" s="49" t="s">
        <v>662</v>
      </c>
      <c r="G187" s="49" t="s">
        <v>635</v>
      </c>
      <c r="H187" s="50"/>
    </row>
    <row r="188" spans="1:8" ht="15" customHeight="1" x14ac:dyDescent="0.3">
      <c r="A188" s="51">
        <v>45843</v>
      </c>
      <c r="B188" s="52" t="s">
        <v>637</v>
      </c>
      <c r="C188" s="52" t="s">
        <v>660</v>
      </c>
      <c r="D188" s="52">
        <v>7</v>
      </c>
      <c r="E188" s="52" t="s">
        <v>661</v>
      </c>
      <c r="F188" s="52" t="s">
        <v>662</v>
      </c>
      <c r="G188" s="52" t="s">
        <v>632</v>
      </c>
      <c r="H188" s="53" t="s">
        <v>638</v>
      </c>
    </row>
    <row r="189" spans="1:8" ht="15" customHeight="1" x14ac:dyDescent="0.3">
      <c r="A189" s="51">
        <v>45844</v>
      </c>
      <c r="B189" s="52" t="s">
        <v>639</v>
      </c>
      <c r="C189" s="52" t="s">
        <v>660</v>
      </c>
      <c r="D189" s="52">
        <v>7</v>
      </c>
      <c r="E189" s="52" t="s">
        <v>661</v>
      </c>
      <c r="F189" s="52" t="s">
        <v>662</v>
      </c>
      <c r="G189" s="52" t="s">
        <v>632</v>
      </c>
      <c r="H189" s="53" t="s">
        <v>638</v>
      </c>
    </row>
    <row r="190" spans="1:8" ht="15" customHeight="1" x14ac:dyDescent="0.3">
      <c r="A190" s="48">
        <v>45845</v>
      </c>
      <c r="B190" s="49" t="s">
        <v>640</v>
      </c>
      <c r="C190" s="49" t="s">
        <v>660</v>
      </c>
      <c r="D190" s="49">
        <v>7</v>
      </c>
      <c r="E190" s="49" t="s">
        <v>661</v>
      </c>
      <c r="F190" s="49" t="s">
        <v>662</v>
      </c>
      <c r="G190" s="49" t="s">
        <v>635</v>
      </c>
      <c r="H190" s="50"/>
    </row>
    <row r="191" spans="1:8" ht="15" customHeight="1" x14ac:dyDescent="0.3">
      <c r="A191" s="48">
        <v>45846</v>
      </c>
      <c r="B191" s="49" t="s">
        <v>641</v>
      </c>
      <c r="C191" s="49" t="s">
        <v>660</v>
      </c>
      <c r="D191" s="49">
        <v>7</v>
      </c>
      <c r="E191" s="49" t="s">
        <v>661</v>
      </c>
      <c r="F191" s="49" t="s">
        <v>662</v>
      </c>
      <c r="G191" s="49" t="s">
        <v>635</v>
      </c>
      <c r="H191" s="50"/>
    </row>
    <row r="192" spans="1:8" ht="15" customHeight="1" x14ac:dyDescent="0.3">
      <c r="A192" s="48">
        <v>45847</v>
      </c>
      <c r="B192" s="49" t="s">
        <v>628</v>
      </c>
      <c r="C192" s="49" t="s">
        <v>660</v>
      </c>
      <c r="D192" s="49">
        <v>7</v>
      </c>
      <c r="E192" s="49" t="s">
        <v>661</v>
      </c>
      <c r="F192" s="49" t="s">
        <v>662</v>
      </c>
      <c r="G192" s="49" t="s">
        <v>635</v>
      </c>
      <c r="H192" s="50"/>
    </row>
    <row r="193" spans="1:8" ht="15" customHeight="1" x14ac:dyDescent="0.3">
      <c r="A193" s="48">
        <v>45848</v>
      </c>
      <c r="B193" s="49" t="s">
        <v>634</v>
      </c>
      <c r="C193" s="49" t="s">
        <v>660</v>
      </c>
      <c r="D193" s="49">
        <v>7</v>
      </c>
      <c r="E193" s="49" t="s">
        <v>661</v>
      </c>
      <c r="F193" s="49" t="s">
        <v>662</v>
      </c>
      <c r="G193" s="49" t="s">
        <v>635</v>
      </c>
      <c r="H193" s="50"/>
    </row>
    <row r="194" spans="1:8" ht="15" customHeight="1" x14ac:dyDescent="0.3">
      <c r="A194" s="48">
        <v>45849</v>
      </c>
      <c r="B194" s="49" t="s">
        <v>636</v>
      </c>
      <c r="C194" s="49" t="s">
        <v>660</v>
      </c>
      <c r="D194" s="49">
        <v>7</v>
      </c>
      <c r="E194" s="49" t="s">
        <v>661</v>
      </c>
      <c r="F194" s="49" t="s">
        <v>662</v>
      </c>
      <c r="G194" s="49" t="s">
        <v>635</v>
      </c>
      <c r="H194" s="50"/>
    </row>
    <row r="195" spans="1:8" ht="15" customHeight="1" x14ac:dyDescent="0.3">
      <c r="A195" s="51">
        <v>45850</v>
      </c>
      <c r="B195" s="52" t="s">
        <v>637</v>
      </c>
      <c r="C195" s="52" t="s">
        <v>660</v>
      </c>
      <c r="D195" s="52">
        <v>7</v>
      </c>
      <c r="E195" s="52" t="s">
        <v>661</v>
      </c>
      <c r="F195" s="52" t="s">
        <v>662</v>
      </c>
      <c r="G195" s="52" t="s">
        <v>632</v>
      </c>
      <c r="H195" s="53" t="s">
        <v>638</v>
      </c>
    </row>
    <row r="196" spans="1:8" ht="15" customHeight="1" x14ac:dyDescent="0.3">
      <c r="A196" s="51">
        <v>45851</v>
      </c>
      <c r="B196" s="52" t="s">
        <v>639</v>
      </c>
      <c r="C196" s="52" t="s">
        <v>660</v>
      </c>
      <c r="D196" s="52">
        <v>7</v>
      </c>
      <c r="E196" s="52" t="s">
        <v>661</v>
      </c>
      <c r="F196" s="52" t="s">
        <v>662</v>
      </c>
      <c r="G196" s="52" t="s">
        <v>632</v>
      </c>
      <c r="H196" s="53" t="s">
        <v>638</v>
      </c>
    </row>
    <row r="197" spans="1:8" ht="15" customHeight="1" x14ac:dyDescent="0.3">
      <c r="A197" s="48">
        <v>45852</v>
      </c>
      <c r="B197" s="49" t="s">
        <v>640</v>
      </c>
      <c r="C197" s="49" t="s">
        <v>660</v>
      </c>
      <c r="D197" s="49">
        <v>7</v>
      </c>
      <c r="E197" s="49" t="s">
        <v>661</v>
      </c>
      <c r="F197" s="49" t="s">
        <v>662</v>
      </c>
      <c r="G197" s="49" t="s">
        <v>635</v>
      </c>
      <c r="H197" s="50"/>
    </row>
    <row r="198" spans="1:8" ht="15" customHeight="1" x14ac:dyDescent="0.3">
      <c r="A198" s="48">
        <v>45853</v>
      </c>
      <c r="B198" s="49" t="s">
        <v>641</v>
      </c>
      <c r="C198" s="49" t="s">
        <v>660</v>
      </c>
      <c r="D198" s="49">
        <v>7</v>
      </c>
      <c r="E198" s="49" t="s">
        <v>661</v>
      </c>
      <c r="F198" s="49" t="s">
        <v>662</v>
      </c>
      <c r="G198" s="49" t="s">
        <v>635</v>
      </c>
      <c r="H198" s="50"/>
    </row>
    <row r="199" spans="1:8" ht="15" customHeight="1" x14ac:dyDescent="0.3">
      <c r="A199" s="48">
        <v>45854</v>
      </c>
      <c r="B199" s="49" t="s">
        <v>628</v>
      </c>
      <c r="C199" s="49" t="s">
        <v>660</v>
      </c>
      <c r="D199" s="49">
        <v>7</v>
      </c>
      <c r="E199" s="49" t="s">
        <v>661</v>
      </c>
      <c r="F199" s="49" t="s">
        <v>662</v>
      </c>
      <c r="G199" s="49" t="s">
        <v>635</v>
      </c>
      <c r="H199" s="50"/>
    </row>
    <row r="200" spans="1:8" ht="15" customHeight="1" x14ac:dyDescent="0.3">
      <c r="A200" s="48">
        <v>45855</v>
      </c>
      <c r="B200" s="49" t="s">
        <v>634</v>
      </c>
      <c r="C200" s="49" t="s">
        <v>660</v>
      </c>
      <c r="D200" s="49">
        <v>7</v>
      </c>
      <c r="E200" s="49" t="s">
        <v>661</v>
      </c>
      <c r="F200" s="49" t="s">
        <v>662</v>
      </c>
      <c r="G200" s="49" t="s">
        <v>635</v>
      </c>
      <c r="H200" s="50"/>
    </row>
    <row r="201" spans="1:8" ht="15" customHeight="1" x14ac:dyDescent="0.3">
      <c r="A201" s="48">
        <v>45856</v>
      </c>
      <c r="B201" s="49" t="s">
        <v>636</v>
      </c>
      <c r="C201" s="49" t="s">
        <v>660</v>
      </c>
      <c r="D201" s="49">
        <v>7</v>
      </c>
      <c r="E201" s="49" t="s">
        <v>661</v>
      </c>
      <c r="F201" s="49" t="s">
        <v>662</v>
      </c>
      <c r="G201" s="49" t="s">
        <v>635</v>
      </c>
      <c r="H201" s="50"/>
    </row>
    <row r="202" spans="1:8" ht="15" customHeight="1" x14ac:dyDescent="0.3">
      <c r="A202" s="51">
        <v>45857</v>
      </c>
      <c r="B202" s="52" t="s">
        <v>637</v>
      </c>
      <c r="C202" s="52" t="s">
        <v>660</v>
      </c>
      <c r="D202" s="52">
        <v>7</v>
      </c>
      <c r="E202" s="52" t="s">
        <v>661</v>
      </c>
      <c r="F202" s="52" t="s">
        <v>662</v>
      </c>
      <c r="G202" s="52" t="s">
        <v>632</v>
      </c>
      <c r="H202" s="53" t="s">
        <v>638</v>
      </c>
    </row>
    <row r="203" spans="1:8" ht="15" customHeight="1" x14ac:dyDescent="0.3">
      <c r="A203" s="51">
        <v>45858</v>
      </c>
      <c r="B203" s="52" t="s">
        <v>639</v>
      </c>
      <c r="C203" s="52" t="s">
        <v>660</v>
      </c>
      <c r="D203" s="52">
        <v>7</v>
      </c>
      <c r="E203" s="52" t="s">
        <v>661</v>
      </c>
      <c r="F203" s="52" t="s">
        <v>662</v>
      </c>
      <c r="G203" s="52" t="s">
        <v>632</v>
      </c>
      <c r="H203" s="53" t="s">
        <v>638</v>
      </c>
    </row>
    <row r="204" spans="1:8" ht="15" customHeight="1" x14ac:dyDescent="0.3">
      <c r="A204" s="48">
        <v>45859</v>
      </c>
      <c r="B204" s="49" t="s">
        <v>640</v>
      </c>
      <c r="C204" s="49" t="s">
        <v>660</v>
      </c>
      <c r="D204" s="49">
        <v>7</v>
      </c>
      <c r="E204" s="49" t="s">
        <v>661</v>
      </c>
      <c r="F204" s="49" t="s">
        <v>662</v>
      </c>
      <c r="G204" s="49" t="s">
        <v>635</v>
      </c>
      <c r="H204" s="50"/>
    </row>
    <row r="205" spans="1:8" ht="15" customHeight="1" x14ac:dyDescent="0.3">
      <c r="A205" s="48">
        <v>45860</v>
      </c>
      <c r="B205" s="49" t="s">
        <v>641</v>
      </c>
      <c r="C205" s="49" t="s">
        <v>660</v>
      </c>
      <c r="D205" s="49">
        <v>7</v>
      </c>
      <c r="E205" s="49" t="s">
        <v>661</v>
      </c>
      <c r="F205" s="49" t="s">
        <v>662</v>
      </c>
      <c r="G205" s="49" t="s">
        <v>635</v>
      </c>
      <c r="H205" s="50"/>
    </row>
    <row r="206" spans="1:8" ht="15" customHeight="1" x14ac:dyDescent="0.3">
      <c r="A206" s="48">
        <v>45861</v>
      </c>
      <c r="B206" s="49" t="s">
        <v>628</v>
      </c>
      <c r="C206" s="49" t="s">
        <v>660</v>
      </c>
      <c r="D206" s="49">
        <v>7</v>
      </c>
      <c r="E206" s="49" t="s">
        <v>661</v>
      </c>
      <c r="F206" s="49" t="s">
        <v>662</v>
      </c>
      <c r="G206" s="49" t="s">
        <v>635</v>
      </c>
      <c r="H206" s="50"/>
    </row>
    <row r="207" spans="1:8" ht="15" customHeight="1" x14ac:dyDescent="0.3">
      <c r="A207" s="48">
        <v>45862</v>
      </c>
      <c r="B207" s="49" t="s">
        <v>634</v>
      </c>
      <c r="C207" s="49" t="s">
        <v>660</v>
      </c>
      <c r="D207" s="49">
        <v>7</v>
      </c>
      <c r="E207" s="49" t="s">
        <v>661</v>
      </c>
      <c r="F207" s="49" t="s">
        <v>662</v>
      </c>
      <c r="G207" s="49" t="s">
        <v>635</v>
      </c>
      <c r="H207" s="50"/>
    </row>
    <row r="208" spans="1:8" ht="15" customHeight="1" x14ac:dyDescent="0.3">
      <c r="A208" s="48">
        <v>45863</v>
      </c>
      <c r="B208" s="49" t="s">
        <v>636</v>
      </c>
      <c r="C208" s="49" t="s">
        <v>660</v>
      </c>
      <c r="D208" s="49">
        <v>7</v>
      </c>
      <c r="E208" s="49" t="s">
        <v>661</v>
      </c>
      <c r="F208" s="49" t="s">
        <v>662</v>
      </c>
      <c r="G208" s="49" t="s">
        <v>635</v>
      </c>
      <c r="H208" s="50"/>
    </row>
    <row r="209" spans="1:8" ht="15" customHeight="1" x14ac:dyDescent="0.3">
      <c r="A209" s="51">
        <v>45864</v>
      </c>
      <c r="B209" s="52" t="s">
        <v>637</v>
      </c>
      <c r="C209" s="52" t="s">
        <v>660</v>
      </c>
      <c r="D209" s="52">
        <v>7</v>
      </c>
      <c r="E209" s="52" t="s">
        <v>661</v>
      </c>
      <c r="F209" s="52" t="s">
        <v>662</v>
      </c>
      <c r="G209" s="52" t="s">
        <v>632</v>
      </c>
      <c r="H209" s="53" t="s">
        <v>638</v>
      </c>
    </row>
    <row r="210" spans="1:8" ht="15" customHeight="1" x14ac:dyDescent="0.3">
      <c r="A210" s="51">
        <v>45865</v>
      </c>
      <c r="B210" s="52" t="s">
        <v>639</v>
      </c>
      <c r="C210" s="52" t="s">
        <v>660</v>
      </c>
      <c r="D210" s="52">
        <v>7</v>
      </c>
      <c r="E210" s="52" t="s">
        <v>661</v>
      </c>
      <c r="F210" s="52" t="s">
        <v>662</v>
      </c>
      <c r="G210" s="52" t="s">
        <v>632</v>
      </c>
      <c r="H210" s="53" t="s">
        <v>638</v>
      </c>
    </row>
    <row r="211" spans="1:8" ht="15" customHeight="1" x14ac:dyDescent="0.3">
      <c r="A211" s="48">
        <v>45866</v>
      </c>
      <c r="B211" s="49" t="s">
        <v>640</v>
      </c>
      <c r="C211" s="49" t="s">
        <v>660</v>
      </c>
      <c r="D211" s="49">
        <v>7</v>
      </c>
      <c r="E211" s="49" t="s">
        <v>661</v>
      </c>
      <c r="F211" s="49" t="s">
        <v>662</v>
      </c>
      <c r="G211" s="49" t="s">
        <v>635</v>
      </c>
      <c r="H211" s="50"/>
    </row>
    <row r="212" spans="1:8" ht="15" customHeight="1" x14ac:dyDescent="0.3">
      <c r="A212" s="48">
        <v>45867</v>
      </c>
      <c r="B212" s="49" t="s">
        <v>641</v>
      </c>
      <c r="C212" s="49" t="s">
        <v>660</v>
      </c>
      <c r="D212" s="49">
        <v>7</v>
      </c>
      <c r="E212" s="49" t="s">
        <v>661</v>
      </c>
      <c r="F212" s="49" t="s">
        <v>662</v>
      </c>
      <c r="G212" s="49" t="s">
        <v>635</v>
      </c>
      <c r="H212" s="50"/>
    </row>
    <row r="213" spans="1:8" ht="15" customHeight="1" x14ac:dyDescent="0.3">
      <c r="A213" s="48">
        <v>45868</v>
      </c>
      <c r="B213" s="49" t="s">
        <v>628</v>
      </c>
      <c r="C213" s="49" t="s">
        <v>660</v>
      </c>
      <c r="D213" s="49">
        <v>7</v>
      </c>
      <c r="E213" s="49" t="s">
        <v>661</v>
      </c>
      <c r="F213" s="49" t="s">
        <v>662</v>
      </c>
      <c r="G213" s="49" t="s">
        <v>635</v>
      </c>
      <c r="H213" s="50"/>
    </row>
    <row r="214" spans="1:8" ht="15" customHeight="1" x14ac:dyDescent="0.3">
      <c r="A214" s="45">
        <v>45869</v>
      </c>
      <c r="B214" s="46" t="s">
        <v>634</v>
      </c>
      <c r="C214" s="46" t="s">
        <v>660</v>
      </c>
      <c r="D214" s="46">
        <v>7</v>
      </c>
      <c r="E214" s="46" t="s">
        <v>661</v>
      </c>
      <c r="F214" s="46" t="s">
        <v>662</v>
      </c>
      <c r="G214" s="46" t="s">
        <v>632</v>
      </c>
      <c r="H214" s="47" t="s">
        <v>663</v>
      </c>
    </row>
    <row r="215" spans="1:8" ht="15" customHeight="1" x14ac:dyDescent="0.3">
      <c r="A215" s="54">
        <v>45870</v>
      </c>
      <c r="B215" s="55" t="s">
        <v>636</v>
      </c>
      <c r="C215" s="55" t="s">
        <v>664</v>
      </c>
      <c r="D215" s="55">
        <v>8</v>
      </c>
      <c r="E215" s="55" t="s">
        <v>661</v>
      </c>
      <c r="F215" s="55" t="s">
        <v>665</v>
      </c>
      <c r="G215" s="55" t="s">
        <v>635</v>
      </c>
      <c r="H215" s="56"/>
    </row>
    <row r="216" spans="1:8" ht="15" customHeight="1" x14ac:dyDescent="0.3">
      <c r="A216" s="51">
        <v>45871</v>
      </c>
      <c r="B216" s="52" t="s">
        <v>637</v>
      </c>
      <c r="C216" s="52" t="s">
        <v>664</v>
      </c>
      <c r="D216" s="52">
        <v>8</v>
      </c>
      <c r="E216" s="52" t="s">
        <v>661</v>
      </c>
      <c r="F216" s="52" t="s">
        <v>665</v>
      </c>
      <c r="G216" s="52" t="s">
        <v>632</v>
      </c>
      <c r="H216" s="53" t="s">
        <v>638</v>
      </c>
    </row>
    <row r="217" spans="1:8" ht="15" customHeight="1" x14ac:dyDescent="0.3">
      <c r="A217" s="51">
        <v>45872</v>
      </c>
      <c r="B217" s="52" t="s">
        <v>639</v>
      </c>
      <c r="C217" s="52" t="s">
        <v>664</v>
      </c>
      <c r="D217" s="52">
        <v>8</v>
      </c>
      <c r="E217" s="52" t="s">
        <v>661</v>
      </c>
      <c r="F217" s="52" t="s">
        <v>665</v>
      </c>
      <c r="G217" s="52" t="s">
        <v>632</v>
      </c>
      <c r="H217" s="53" t="s">
        <v>638</v>
      </c>
    </row>
    <row r="218" spans="1:8" ht="15" customHeight="1" x14ac:dyDescent="0.3">
      <c r="A218" s="48">
        <v>45873</v>
      </c>
      <c r="B218" s="49" t="s">
        <v>640</v>
      </c>
      <c r="C218" s="49" t="s">
        <v>664</v>
      </c>
      <c r="D218" s="49">
        <v>8</v>
      </c>
      <c r="E218" s="49" t="s">
        <v>661</v>
      </c>
      <c r="F218" s="49" t="s">
        <v>665</v>
      </c>
      <c r="G218" s="49" t="s">
        <v>635</v>
      </c>
      <c r="H218" s="50"/>
    </row>
    <row r="219" spans="1:8" ht="15" customHeight="1" x14ac:dyDescent="0.3">
      <c r="A219" s="48">
        <v>45874</v>
      </c>
      <c r="B219" s="49" t="s">
        <v>641</v>
      </c>
      <c r="C219" s="49" t="s">
        <v>664</v>
      </c>
      <c r="D219" s="49">
        <v>8</v>
      </c>
      <c r="E219" s="49" t="s">
        <v>661</v>
      </c>
      <c r="F219" s="49" t="s">
        <v>665</v>
      </c>
      <c r="G219" s="49" t="s">
        <v>635</v>
      </c>
      <c r="H219" s="50"/>
    </row>
    <row r="220" spans="1:8" ht="15" customHeight="1" x14ac:dyDescent="0.3">
      <c r="A220" s="48">
        <v>45875</v>
      </c>
      <c r="B220" s="49" t="s">
        <v>628</v>
      </c>
      <c r="C220" s="49" t="s">
        <v>664</v>
      </c>
      <c r="D220" s="49">
        <v>8</v>
      </c>
      <c r="E220" s="49" t="s">
        <v>661</v>
      </c>
      <c r="F220" s="49" t="s">
        <v>665</v>
      </c>
      <c r="G220" s="49" t="s">
        <v>635</v>
      </c>
      <c r="H220" s="50"/>
    </row>
    <row r="221" spans="1:8" ht="15" customHeight="1" x14ac:dyDescent="0.3">
      <c r="A221" s="48">
        <v>45876</v>
      </c>
      <c r="B221" s="49" t="s">
        <v>634</v>
      </c>
      <c r="C221" s="49" t="s">
        <v>664</v>
      </c>
      <c r="D221" s="49">
        <v>8</v>
      </c>
      <c r="E221" s="49" t="s">
        <v>661</v>
      </c>
      <c r="F221" s="49" t="s">
        <v>665</v>
      </c>
      <c r="G221" s="49" t="s">
        <v>635</v>
      </c>
      <c r="H221" s="50"/>
    </row>
    <row r="222" spans="1:8" ht="15" customHeight="1" x14ac:dyDescent="0.3">
      <c r="A222" s="48">
        <v>45877</v>
      </c>
      <c r="B222" s="49" t="s">
        <v>636</v>
      </c>
      <c r="C222" s="49" t="s">
        <v>664</v>
      </c>
      <c r="D222" s="49">
        <v>8</v>
      </c>
      <c r="E222" s="49" t="s">
        <v>661</v>
      </c>
      <c r="F222" s="49" t="s">
        <v>665</v>
      </c>
      <c r="G222" s="49" t="s">
        <v>635</v>
      </c>
      <c r="H222" s="50"/>
    </row>
    <row r="223" spans="1:8" ht="15" customHeight="1" x14ac:dyDescent="0.3">
      <c r="A223" s="51">
        <v>45878</v>
      </c>
      <c r="B223" s="52" t="s">
        <v>637</v>
      </c>
      <c r="C223" s="52" t="s">
        <v>664</v>
      </c>
      <c r="D223" s="52">
        <v>8</v>
      </c>
      <c r="E223" s="52" t="s">
        <v>661</v>
      </c>
      <c r="F223" s="52" t="s">
        <v>665</v>
      </c>
      <c r="G223" s="52" t="s">
        <v>632</v>
      </c>
      <c r="H223" s="53" t="s">
        <v>638</v>
      </c>
    </row>
    <row r="224" spans="1:8" ht="15" customHeight="1" x14ac:dyDescent="0.3">
      <c r="A224" s="51">
        <v>45879</v>
      </c>
      <c r="B224" s="52" t="s">
        <v>639</v>
      </c>
      <c r="C224" s="52" t="s">
        <v>664</v>
      </c>
      <c r="D224" s="52">
        <v>8</v>
      </c>
      <c r="E224" s="52" t="s">
        <v>661</v>
      </c>
      <c r="F224" s="52" t="s">
        <v>665</v>
      </c>
      <c r="G224" s="52" t="s">
        <v>632</v>
      </c>
      <c r="H224" s="53" t="s">
        <v>638</v>
      </c>
    </row>
    <row r="225" spans="1:8" ht="15" customHeight="1" x14ac:dyDescent="0.3">
      <c r="A225" s="48">
        <v>45880</v>
      </c>
      <c r="B225" s="49" t="s">
        <v>640</v>
      </c>
      <c r="C225" s="49" t="s">
        <v>664</v>
      </c>
      <c r="D225" s="49">
        <v>8</v>
      </c>
      <c r="E225" s="49" t="s">
        <v>661</v>
      </c>
      <c r="F225" s="49" t="s">
        <v>665</v>
      </c>
      <c r="G225" s="49" t="s">
        <v>635</v>
      </c>
      <c r="H225" s="50"/>
    </row>
    <row r="226" spans="1:8" ht="15" customHeight="1" x14ac:dyDescent="0.3">
      <c r="A226" s="48">
        <v>45881</v>
      </c>
      <c r="B226" s="49" t="s">
        <v>641</v>
      </c>
      <c r="C226" s="49" t="s">
        <v>664</v>
      </c>
      <c r="D226" s="49">
        <v>8</v>
      </c>
      <c r="E226" s="49" t="s">
        <v>661</v>
      </c>
      <c r="F226" s="49" t="s">
        <v>665</v>
      </c>
      <c r="G226" s="49" t="s">
        <v>635</v>
      </c>
      <c r="H226" s="50"/>
    </row>
    <row r="227" spans="1:8" ht="15" customHeight="1" x14ac:dyDescent="0.3">
      <c r="A227" s="48">
        <v>45882</v>
      </c>
      <c r="B227" s="49" t="s">
        <v>628</v>
      </c>
      <c r="C227" s="49" t="s">
        <v>664</v>
      </c>
      <c r="D227" s="49">
        <v>8</v>
      </c>
      <c r="E227" s="49" t="s">
        <v>661</v>
      </c>
      <c r="F227" s="49" t="s">
        <v>665</v>
      </c>
      <c r="G227" s="49" t="s">
        <v>635</v>
      </c>
      <c r="H227" s="50"/>
    </row>
    <row r="228" spans="1:8" ht="15" customHeight="1" x14ac:dyDescent="0.3">
      <c r="A228" s="48">
        <v>45883</v>
      </c>
      <c r="B228" s="49" t="s">
        <v>634</v>
      </c>
      <c r="C228" s="49" t="s">
        <v>664</v>
      </c>
      <c r="D228" s="49">
        <v>8</v>
      </c>
      <c r="E228" s="49" t="s">
        <v>661</v>
      </c>
      <c r="F228" s="49" t="s">
        <v>665</v>
      </c>
      <c r="G228" s="49" t="s">
        <v>635</v>
      </c>
      <c r="H228" s="50"/>
    </row>
    <row r="229" spans="1:8" ht="15" customHeight="1" x14ac:dyDescent="0.3">
      <c r="A229" s="48">
        <v>45884</v>
      </c>
      <c r="B229" s="49" t="s">
        <v>636</v>
      </c>
      <c r="C229" s="49" t="s">
        <v>664</v>
      </c>
      <c r="D229" s="49">
        <v>8</v>
      </c>
      <c r="E229" s="49" t="s">
        <v>661</v>
      </c>
      <c r="F229" s="49" t="s">
        <v>665</v>
      </c>
      <c r="G229" s="49" t="s">
        <v>635</v>
      </c>
      <c r="H229" s="50"/>
    </row>
    <row r="230" spans="1:8" ht="15" customHeight="1" x14ac:dyDescent="0.3">
      <c r="A230" s="51">
        <v>45885</v>
      </c>
      <c r="B230" s="52" t="s">
        <v>637</v>
      </c>
      <c r="C230" s="52" t="s">
        <v>664</v>
      </c>
      <c r="D230" s="52">
        <v>8</v>
      </c>
      <c r="E230" s="52" t="s">
        <v>661</v>
      </c>
      <c r="F230" s="52" t="s">
        <v>665</v>
      </c>
      <c r="G230" s="52" t="s">
        <v>632</v>
      </c>
      <c r="H230" s="53" t="s">
        <v>638</v>
      </c>
    </row>
    <row r="231" spans="1:8" ht="15" customHeight="1" x14ac:dyDescent="0.3">
      <c r="A231" s="51">
        <v>45886</v>
      </c>
      <c r="B231" s="52" t="s">
        <v>639</v>
      </c>
      <c r="C231" s="52" t="s">
        <v>664</v>
      </c>
      <c r="D231" s="52">
        <v>8</v>
      </c>
      <c r="E231" s="52" t="s">
        <v>661</v>
      </c>
      <c r="F231" s="52" t="s">
        <v>665</v>
      </c>
      <c r="G231" s="52" t="s">
        <v>632</v>
      </c>
      <c r="H231" s="53" t="s">
        <v>638</v>
      </c>
    </row>
    <row r="232" spans="1:8" ht="15" customHeight="1" x14ac:dyDescent="0.3">
      <c r="A232" s="48">
        <v>45887</v>
      </c>
      <c r="B232" s="49" t="s">
        <v>640</v>
      </c>
      <c r="C232" s="49" t="s">
        <v>664</v>
      </c>
      <c r="D232" s="49">
        <v>8</v>
      </c>
      <c r="E232" s="49" t="s">
        <v>661</v>
      </c>
      <c r="F232" s="49" t="s">
        <v>665</v>
      </c>
      <c r="G232" s="49" t="s">
        <v>635</v>
      </c>
      <c r="H232" s="50"/>
    </row>
    <row r="233" spans="1:8" ht="15" customHeight="1" x14ac:dyDescent="0.3">
      <c r="A233" s="48">
        <v>45888</v>
      </c>
      <c r="B233" s="49" t="s">
        <v>641</v>
      </c>
      <c r="C233" s="49" t="s">
        <v>664</v>
      </c>
      <c r="D233" s="49">
        <v>8</v>
      </c>
      <c r="E233" s="49" t="s">
        <v>661</v>
      </c>
      <c r="F233" s="49" t="s">
        <v>665</v>
      </c>
      <c r="G233" s="49" t="s">
        <v>635</v>
      </c>
      <c r="H233" s="50"/>
    </row>
    <row r="234" spans="1:8" ht="15" customHeight="1" x14ac:dyDescent="0.3">
      <c r="A234" s="48">
        <v>45889</v>
      </c>
      <c r="B234" s="49" t="s">
        <v>628</v>
      </c>
      <c r="C234" s="49" t="s">
        <v>664</v>
      </c>
      <c r="D234" s="49">
        <v>8</v>
      </c>
      <c r="E234" s="49" t="s">
        <v>661</v>
      </c>
      <c r="F234" s="49" t="s">
        <v>665</v>
      </c>
      <c r="G234" s="49" t="s">
        <v>635</v>
      </c>
      <c r="H234" s="50"/>
    </row>
    <row r="235" spans="1:8" ht="15" customHeight="1" x14ac:dyDescent="0.3">
      <c r="A235" s="48">
        <v>45890</v>
      </c>
      <c r="B235" s="49" t="s">
        <v>634</v>
      </c>
      <c r="C235" s="49" t="s">
        <v>664</v>
      </c>
      <c r="D235" s="49">
        <v>8</v>
      </c>
      <c r="E235" s="49" t="s">
        <v>661</v>
      </c>
      <c r="F235" s="49" t="s">
        <v>665</v>
      </c>
      <c r="G235" s="49" t="s">
        <v>635</v>
      </c>
      <c r="H235" s="50"/>
    </row>
    <row r="236" spans="1:8" ht="15" customHeight="1" x14ac:dyDescent="0.3">
      <c r="A236" s="48">
        <v>45891</v>
      </c>
      <c r="B236" s="49" t="s">
        <v>636</v>
      </c>
      <c r="C236" s="49" t="s">
        <v>664</v>
      </c>
      <c r="D236" s="49">
        <v>8</v>
      </c>
      <c r="E236" s="49" t="s">
        <v>661</v>
      </c>
      <c r="F236" s="49" t="s">
        <v>665</v>
      </c>
      <c r="G236" s="49" t="s">
        <v>635</v>
      </c>
      <c r="H236" s="50"/>
    </row>
    <row r="237" spans="1:8" ht="15" customHeight="1" x14ac:dyDescent="0.3">
      <c r="A237" s="51">
        <v>45892</v>
      </c>
      <c r="B237" s="52" t="s">
        <v>637</v>
      </c>
      <c r="C237" s="52" t="s">
        <v>664</v>
      </c>
      <c r="D237" s="52">
        <v>8</v>
      </c>
      <c r="E237" s="52" t="s">
        <v>661</v>
      </c>
      <c r="F237" s="52" t="s">
        <v>665</v>
      </c>
      <c r="G237" s="52" t="s">
        <v>632</v>
      </c>
      <c r="H237" s="53" t="s">
        <v>638</v>
      </c>
    </row>
    <row r="238" spans="1:8" ht="15" customHeight="1" x14ac:dyDescent="0.3">
      <c r="A238" s="51">
        <v>45893</v>
      </c>
      <c r="B238" s="52" t="s">
        <v>639</v>
      </c>
      <c r="C238" s="52" t="s">
        <v>664</v>
      </c>
      <c r="D238" s="52">
        <v>8</v>
      </c>
      <c r="E238" s="52" t="s">
        <v>661</v>
      </c>
      <c r="F238" s="52" t="s">
        <v>665</v>
      </c>
      <c r="G238" s="52" t="s">
        <v>632</v>
      </c>
      <c r="H238" s="53" t="s">
        <v>638</v>
      </c>
    </row>
    <row r="239" spans="1:8" ht="15" customHeight="1" x14ac:dyDescent="0.3">
      <c r="A239" s="48">
        <v>45894</v>
      </c>
      <c r="B239" s="49" t="s">
        <v>640</v>
      </c>
      <c r="C239" s="49" t="s">
        <v>664</v>
      </c>
      <c r="D239" s="49">
        <v>8</v>
      </c>
      <c r="E239" s="49" t="s">
        <v>661</v>
      </c>
      <c r="F239" s="49" t="s">
        <v>665</v>
      </c>
      <c r="G239" s="49" t="s">
        <v>635</v>
      </c>
      <c r="H239" s="50"/>
    </row>
    <row r="240" spans="1:8" ht="15" customHeight="1" x14ac:dyDescent="0.3">
      <c r="A240" s="48">
        <v>45895</v>
      </c>
      <c r="B240" s="49" t="s">
        <v>641</v>
      </c>
      <c r="C240" s="49" t="s">
        <v>664</v>
      </c>
      <c r="D240" s="49">
        <v>8</v>
      </c>
      <c r="E240" s="49" t="s">
        <v>661</v>
      </c>
      <c r="F240" s="49" t="s">
        <v>665</v>
      </c>
      <c r="G240" s="49" t="s">
        <v>635</v>
      </c>
      <c r="H240" s="50"/>
    </row>
    <row r="241" spans="1:8" ht="15" customHeight="1" x14ac:dyDescent="0.3">
      <c r="A241" s="48">
        <v>45896</v>
      </c>
      <c r="B241" s="49" t="s">
        <v>628</v>
      </c>
      <c r="C241" s="49" t="s">
        <v>664</v>
      </c>
      <c r="D241" s="49">
        <v>8</v>
      </c>
      <c r="E241" s="49" t="s">
        <v>661</v>
      </c>
      <c r="F241" s="49" t="s">
        <v>665</v>
      </c>
      <c r="G241" s="49" t="s">
        <v>635</v>
      </c>
      <c r="H241" s="50"/>
    </row>
    <row r="242" spans="1:8" ht="15" customHeight="1" x14ac:dyDescent="0.3">
      <c r="A242" s="48">
        <v>45897</v>
      </c>
      <c r="B242" s="49" t="s">
        <v>634</v>
      </c>
      <c r="C242" s="49" t="s">
        <v>664</v>
      </c>
      <c r="D242" s="49">
        <v>8</v>
      </c>
      <c r="E242" s="49" t="s">
        <v>661</v>
      </c>
      <c r="F242" s="49" t="s">
        <v>665</v>
      </c>
      <c r="G242" s="49" t="s">
        <v>635</v>
      </c>
      <c r="H242" s="50"/>
    </row>
    <row r="243" spans="1:8" ht="15" customHeight="1" x14ac:dyDescent="0.3">
      <c r="A243" s="48">
        <v>45898</v>
      </c>
      <c r="B243" s="49" t="s">
        <v>636</v>
      </c>
      <c r="C243" s="49" t="s">
        <v>664</v>
      </c>
      <c r="D243" s="49">
        <v>8</v>
      </c>
      <c r="E243" s="49" t="s">
        <v>661</v>
      </c>
      <c r="F243" s="49" t="s">
        <v>665</v>
      </c>
      <c r="G243" s="49" t="s">
        <v>635</v>
      </c>
      <c r="H243" s="50"/>
    </row>
    <row r="244" spans="1:8" ht="15" customHeight="1" x14ac:dyDescent="0.3">
      <c r="A244" s="51">
        <v>45899</v>
      </c>
      <c r="B244" s="52" t="s">
        <v>637</v>
      </c>
      <c r="C244" s="52" t="s">
        <v>664</v>
      </c>
      <c r="D244" s="52">
        <v>8</v>
      </c>
      <c r="E244" s="52" t="s">
        <v>661</v>
      </c>
      <c r="F244" s="52" t="s">
        <v>665</v>
      </c>
      <c r="G244" s="52" t="s">
        <v>632</v>
      </c>
      <c r="H244" s="53" t="s">
        <v>638</v>
      </c>
    </row>
    <row r="245" spans="1:8" ht="15" customHeight="1" x14ac:dyDescent="0.3">
      <c r="A245" s="45">
        <v>45900</v>
      </c>
      <c r="B245" s="46" t="s">
        <v>639</v>
      </c>
      <c r="C245" s="46" t="s">
        <v>664</v>
      </c>
      <c r="D245" s="46">
        <v>8</v>
      </c>
      <c r="E245" s="46" t="s">
        <v>661</v>
      </c>
      <c r="F245" s="46" t="s">
        <v>665</v>
      </c>
      <c r="G245" s="46" t="s">
        <v>632</v>
      </c>
      <c r="H245" s="47" t="s">
        <v>666</v>
      </c>
    </row>
    <row r="246" spans="1:8" ht="15" customHeight="1" x14ac:dyDescent="0.3">
      <c r="A246" s="54">
        <v>45901</v>
      </c>
      <c r="B246" s="55" t="s">
        <v>640</v>
      </c>
      <c r="C246" s="55" t="s">
        <v>667</v>
      </c>
      <c r="D246" s="55">
        <v>9</v>
      </c>
      <c r="E246" s="55" t="s">
        <v>661</v>
      </c>
      <c r="F246" s="55" t="s">
        <v>668</v>
      </c>
      <c r="G246" s="55" t="s">
        <v>635</v>
      </c>
      <c r="H246" s="56"/>
    </row>
    <row r="247" spans="1:8" ht="15" customHeight="1" x14ac:dyDescent="0.3">
      <c r="A247" s="48">
        <v>45902</v>
      </c>
      <c r="B247" s="49" t="s">
        <v>641</v>
      </c>
      <c r="C247" s="49" t="s">
        <v>667</v>
      </c>
      <c r="D247" s="49">
        <v>9</v>
      </c>
      <c r="E247" s="49" t="s">
        <v>661</v>
      </c>
      <c r="F247" s="49" t="s">
        <v>668</v>
      </c>
      <c r="G247" s="49" t="s">
        <v>635</v>
      </c>
      <c r="H247" s="50"/>
    </row>
    <row r="248" spans="1:8" ht="15" customHeight="1" x14ac:dyDescent="0.3">
      <c r="A248" s="48">
        <v>45903</v>
      </c>
      <c r="B248" s="49" t="s">
        <v>628</v>
      </c>
      <c r="C248" s="49" t="s">
        <v>667</v>
      </c>
      <c r="D248" s="49">
        <v>9</v>
      </c>
      <c r="E248" s="49" t="s">
        <v>661</v>
      </c>
      <c r="F248" s="49" t="s">
        <v>668</v>
      </c>
      <c r="G248" s="49" t="s">
        <v>635</v>
      </c>
      <c r="H248" s="50"/>
    </row>
    <row r="249" spans="1:8" ht="15" customHeight="1" x14ac:dyDescent="0.3">
      <c r="A249" s="48">
        <v>45904</v>
      </c>
      <c r="B249" s="49" t="s">
        <v>634</v>
      </c>
      <c r="C249" s="49" t="s">
        <v>667</v>
      </c>
      <c r="D249" s="49">
        <v>9</v>
      </c>
      <c r="E249" s="49" t="s">
        <v>661</v>
      </c>
      <c r="F249" s="49" t="s">
        <v>668</v>
      </c>
      <c r="G249" s="49" t="s">
        <v>635</v>
      </c>
      <c r="H249" s="50"/>
    </row>
    <row r="250" spans="1:8" ht="15" customHeight="1" x14ac:dyDescent="0.3">
      <c r="A250" s="48">
        <v>45905</v>
      </c>
      <c r="B250" s="49" t="s">
        <v>636</v>
      </c>
      <c r="C250" s="49" t="s">
        <v>667</v>
      </c>
      <c r="D250" s="49">
        <v>9</v>
      </c>
      <c r="E250" s="49" t="s">
        <v>661</v>
      </c>
      <c r="F250" s="49" t="s">
        <v>668</v>
      </c>
      <c r="G250" s="49" t="s">
        <v>635</v>
      </c>
      <c r="H250" s="50"/>
    </row>
    <row r="251" spans="1:8" ht="15" customHeight="1" x14ac:dyDescent="0.3">
      <c r="A251" s="51">
        <v>45906</v>
      </c>
      <c r="B251" s="52" t="s">
        <v>637</v>
      </c>
      <c r="C251" s="52" t="s">
        <v>667</v>
      </c>
      <c r="D251" s="52">
        <v>9</v>
      </c>
      <c r="E251" s="52" t="s">
        <v>661</v>
      </c>
      <c r="F251" s="52" t="s">
        <v>668</v>
      </c>
      <c r="G251" s="52" t="s">
        <v>632</v>
      </c>
      <c r="H251" s="53" t="s">
        <v>638</v>
      </c>
    </row>
    <row r="252" spans="1:8" ht="15" customHeight="1" x14ac:dyDescent="0.3">
      <c r="A252" s="51">
        <v>45907</v>
      </c>
      <c r="B252" s="52" t="s">
        <v>639</v>
      </c>
      <c r="C252" s="52" t="s">
        <v>667</v>
      </c>
      <c r="D252" s="52">
        <v>9</v>
      </c>
      <c r="E252" s="52" t="s">
        <v>661</v>
      </c>
      <c r="F252" s="52" t="s">
        <v>668</v>
      </c>
      <c r="G252" s="52" t="s">
        <v>632</v>
      </c>
      <c r="H252" s="53" t="s">
        <v>638</v>
      </c>
    </row>
    <row r="253" spans="1:8" ht="15" customHeight="1" x14ac:dyDescent="0.3">
      <c r="A253" s="48">
        <v>45908</v>
      </c>
      <c r="B253" s="49" t="s">
        <v>640</v>
      </c>
      <c r="C253" s="49" t="s">
        <v>667</v>
      </c>
      <c r="D253" s="49">
        <v>9</v>
      </c>
      <c r="E253" s="49" t="s">
        <v>661</v>
      </c>
      <c r="F253" s="49" t="s">
        <v>668</v>
      </c>
      <c r="G253" s="49" t="s">
        <v>635</v>
      </c>
      <c r="H253" s="50"/>
    </row>
    <row r="254" spans="1:8" ht="15" customHeight="1" x14ac:dyDescent="0.3">
      <c r="A254" s="48">
        <v>45909</v>
      </c>
      <c r="B254" s="49" t="s">
        <v>641</v>
      </c>
      <c r="C254" s="49" t="s">
        <v>667</v>
      </c>
      <c r="D254" s="49">
        <v>9</v>
      </c>
      <c r="E254" s="49" t="s">
        <v>661</v>
      </c>
      <c r="F254" s="49" t="s">
        <v>668</v>
      </c>
      <c r="G254" s="49" t="s">
        <v>635</v>
      </c>
      <c r="H254" s="50"/>
    </row>
    <row r="255" spans="1:8" ht="15" customHeight="1" x14ac:dyDescent="0.3">
      <c r="A255" s="48">
        <v>45910</v>
      </c>
      <c r="B255" s="49" t="s">
        <v>628</v>
      </c>
      <c r="C255" s="49" t="s">
        <v>667</v>
      </c>
      <c r="D255" s="49">
        <v>9</v>
      </c>
      <c r="E255" s="49" t="s">
        <v>661</v>
      </c>
      <c r="F255" s="49" t="s">
        <v>668</v>
      </c>
      <c r="G255" s="49" t="s">
        <v>635</v>
      </c>
      <c r="H255" s="50"/>
    </row>
    <row r="256" spans="1:8" ht="15" customHeight="1" x14ac:dyDescent="0.3">
      <c r="A256" s="48">
        <v>45911</v>
      </c>
      <c r="B256" s="49" t="s">
        <v>634</v>
      </c>
      <c r="C256" s="49" t="s">
        <v>667</v>
      </c>
      <c r="D256" s="49">
        <v>9</v>
      </c>
      <c r="E256" s="49" t="s">
        <v>661</v>
      </c>
      <c r="F256" s="49" t="s">
        <v>668</v>
      </c>
      <c r="G256" s="49" t="s">
        <v>635</v>
      </c>
      <c r="H256" s="50"/>
    </row>
    <row r="257" spans="1:8" ht="15" customHeight="1" x14ac:dyDescent="0.3">
      <c r="A257" s="48">
        <v>45912</v>
      </c>
      <c r="B257" s="49" t="s">
        <v>636</v>
      </c>
      <c r="C257" s="49" t="s">
        <v>667</v>
      </c>
      <c r="D257" s="49">
        <v>9</v>
      </c>
      <c r="E257" s="49" t="s">
        <v>661</v>
      </c>
      <c r="F257" s="49" t="s">
        <v>668</v>
      </c>
      <c r="G257" s="49" t="s">
        <v>635</v>
      </c>
      <c r="H257" s="50"/>
    </row>
    <row r="258" spans="1:8" ht="15" customHeight="1" x14ac:dyDescent="0.3">
      <c r="A258" s="51">
        <v>45913</v>
      </c>
      <c r="B258" s="52" t="s">
        <v>637</v>
      </c>
      <c r="C258" s="52" t="s">
        <v>667</v>
      </c>
      <c r="D258" s="52">
        <v>9</v>
      </c>
      <c r="E258" s="52" t="s">
        <v>661</v>
      </c>
      <c r="F258" s="52" t="s">
        <v>668</v>
      </c>
      <c r="G258" s="52" t="s">
        <v>632</v>
      </c>
      <c r="H258" s="53" t="s">
        <v>638</v>
      </c>
    </row>
    <row r="259" spans="1:8" ht="15" customHeight="1" x14ac:dyDescent="0.3">
      <c r="A259" s="51">
        <v>45914</v>
      </c>
      <c r="B259" s="52" t="s">
        <v>639</v>
      </c>
      <c r="C259" s="52" t="s">
        <v>667</v>
      </c>
      <c r="D259" s="52">
        <v>9</v>
      </c>
      <c r="E259" s="52" t="s">
        <v>661</v>
      </c>
      <c r="F259" s="52" t="s">
        <v>668</v>
      </c>
      <c r="G259" s="52" t="s">
        <v>632</v>
      </c>
      <c r="H259" s="53" t="s">
        <v>638</v>
      </c>
    </row>
    <row r="260" spans="1:8" ht="15" customHeight="1" x14ac:dyDescent="0.3">
      <c r="A260" s="48">
        <v>45915</v>
      </c>
      <c r="B260" s="49" t="s">
        <v>640</v>
      </c>
      <c r="C260" s="49" t="s">
        <v>667</v>
      </c>
      <c r="D260" s="49">
        <v>9</v>
      </c>
      <c r="E260" s="49" t="s">
        <v>661</v>
      </c>
      <c r="F260" s="49" t="s">
        <v>668</v>
      </c>
      <c r="G260" s="49" t="s">
        <v>635</v>
      </c>
      <c r="H260" s="50"/>
    </row>
    <row r="261" spans="1:8" ht="15" customHeight="1" x14ac:dyDescent="0.3">
      <c r="A261" s="45">
        <v>45916</v>
      </c>
      <c r="B261" s="46" t="s">
        <v>641</v>
      </c>
      <c r="C261" s="46" t="s">
        <v>667</v>
      </c>
      <c r="D261" s="46">
        <v>9</v>
      </c>
      <c r="E261" s="46" t="s">
        <v>661</v>
      </c>
      <c r="F261" s="46" t="s">
        <v>668</v>
      </c>
      <c r="G261" s="46" t="s">
        <v>632</v>
      </c>
      <c r="H261" s="47" t="s">
        <v>669</v>
      </c>
    </row>
    <row r="262" spans="1:8" ht="15" customHeight="1" x14ac:dyDescent="0.3">
      <c r="A262" s="48">
        <v>45917</v>
      </c>
      <c r="B262" s="49" t="s">
        <v>628</v>
      </c>
      <c r="C262" s="49" t="s">
        <v>667</v>
      </c>
      <c r="D262" s="49">
        <v>9</v>
      </c>
      <c r="E262" s="49" t="s">
        <v>661</v>
      </c>
      <c r="F262" s="49" t="s">
        <v>668</v>
      </c>
      <c r="G262" s="49" t="s">
        <v>635</v>
      </c>
      <c r="H262" s="50"/>
    </row>
    <row r="263" spans="1:8" ht="15" customHeight="1" x14ac:dyDescent="0.3">
      <c r="A263" s="48">
        <v>45918</v>
      </c>
      <c r="B263" s="49" t="s">
        <v>634</v>
      </c>
      <c r="C263" s="49" t="s">
        <v>667</v>
      </c>
      <c r="D263" s="49">
        <v>9</v>
      </c>
      <c r="E263" s="49" t="s">
        <v>661</v>
      </c>
      <c r="F263" s="49" t="s">
        <v>668</v>
      </c>
      <c r="G263" s="49" t="s">
        <v>635</v>
      </c>
      <c r="H263" s="50"/>
    </row>
    <row r="264" spans="1:8" ht="15" customHeight="1" x14ac:dyDescent="0.3">
      <c r="A264" s="48">
        <v>45919</v>
      </c>
      <c r="B264" s="49" t="s">
        <v>636</v>
      </c>
      <c r="C264" s="49" t="s">
        <v>667</v>
      </c>
      <c r="D264" s="49">
        <v>9</v>
      </c>
      <c r="E264" s="49" t="s">
        <v>661</v>
      </c>
      <c r="F264" s="49" t="s">
        <v>668</v>
      </c>
      <c r="G264" s="49" t="s">
        <v>635</v>
      </c>
      <c r="H264" s="50"/>
    </row>
    <row r="265" spans="1:8" ht="15" customHeight="1" x14ac:dyDescent="0.3">
      <c r="A265" s="51">
        <v>45920</v>
      </c>
      <c r="B265" s="52" t="s">
        <v>637</v>
      </c>
      <c r="C265" s="52" t="s">
        <v>667</v>
      </c>
      <c r="D265" s="52">
        <v>9</v>
      </c>
      <c r="E265" s="52" t="s">
        <v>661</v>
      </c>
      <c r="F265" s="52" t="s">
        <v>668</v>
      </c>
      <c r="G265" s="52" t="s">
        <v>632</v>
      </c>
      <c r="H265" s="53" t="s">
        <v>638</v>
      </c>
    </row>
    <row r="266" spans="1:8" ht="15" customHeight="1" x14ac:dyDescent="0.3">
      <c r="A266" s="51">
        <v>45921</v>
      </c>
      <c r="B266" s="52" t="s">
        <v>639</v>
      </c>
      <c r="C266" s="52" t="s">
        <v>667</v>
      </c>
      <c r="D266" s="52">
        <v>9</v>
      </c>
      <c r="E266" s="52" t="s">
        <v>661</v>
      </c>
      <c r="F266" s="52" t="s">
        <v>668</v>
      </c>
      <c r="G266" s="52" t="s">
        <v>632</v>
      </c>
      <c r="H266" s="53" t="s">
        <v>638</v>
      </c>
    </row>
    <row r="267" spans="1:8" ht="15" customHeight="1" x14ac:dyDescent="0.3">
      <c r="A267" s="48">
        <v>45922</v>
      </c>
      <c r="B267" s="49" t="s">
        <v>640</v>
      </c>
      <c r="C267" s="49" t="s">
        <v>667</v>
      </c>
      <c r="D267" s="49">
        <v>9</v>
      </c>
      <c r="E267" s="49" t="s">
        <v>661</v>
      </c>
      <c r="F267" s="49" t="s">
        <v>668</v>
      </c>
      <c r="G267" s="49" t="s">
        <v>635</v>
      </c>
      <c r="H267" s="50"/>
    </row>
    <row r="268" spans="1:8" ht="15" customHeight="1" x14ac:dyDescent="0.3">
      <c r="A268" s="48">
        <v>45923</v>
      </c>
      <c r="B268" s="49" t="s">
        <v>641</v>
      </c>
      <c r="C268" s="49" t="s">
        <v>667</v>
      </c>
      <c r="D268" s="49">
        <v>9</v>
      </c>
      <c r="E268" s="49" t="s">
        <v>661</v>
      </c>
      <c r="F268" s="49" t="s">
        <v>668</v>
      </c>
      <c r="G268" s="49" t="s">
        <v>635</v>
      </c>
      <c r="H268" s="50"/>
    </row>
    <row r="269" spans="1:8" ht="15" customHeight="1" x14ac:dyDescent="0.3">
      <c r="A269" s="48">
        <v>45924</v>
      </c>
      <c r="B269" s="49" t="s">
        <v>628</v>
      </c>
      <c r="C269" s="49" t="s">
        <v>667</v>
      </c>
      <c r="D269" s="49">
        <v>9</v>
      </c>
      <c r="E269" s="49" t="s">
        <v>661</v>
      </c>
      <c r="F269" s="49" t="s">
        <v>668</v>
      </c>
      <c r="G269" s="49" t="s">
        <v>635</v>
      </c>
      <c r="H269" s="50"/>
    </row>
    <row r="270" spans="1:8" ht="15" customHeight="1" x14ac:dyDescent="0.3">
      <c r="A270" s="48">
        <v>45925</v>
      </c>
      <c r="B270" s="49" t="s">
        <v>634</v>
      </c>
      <c r="C270" s="49" t="s">
        <v>667</v>
      </c>
      <c r="D270" s="49">
        <v>9</v>
      </c>
      <c r="E270" s="49" t="s">
        <v>661</v>
      </c>
      <c r="F270" s="49" t="s">
        <v>668</v>
      </c>
      <c r="G270" s="49" t="s">
        <v>635</v>
      </c>
      <c r="H270" s="50"/>
    </row>
    <row r="271" spans="1:8" ht="15" customHeight="1" x14ac:dyDescent="0.3">
      <c r="A271" s="48">
        <v>45926</v>
      </c>
      <c r="B271" s="49" t="s">
        <v>636</v>
      </c>
      <c r="C271" s="49" t="s">
        <v>667</v>
      </c>
      <c r="D271" s="49">
        <v>9</v>
      </c>
      <c r="E271" s="49" t="s">
        <v>661</v>
      </c>
      <c r="F271" s="49" t="s">
        <v>668</v>
      </c>
      <c r="G271" s="49" t="s">
        <v>635</v>
      </c>
      <c r="H271" s="50"/>
    </row>
    <row r="272" spans="1:8" ht="15" customHeight="1" x14ac:dyDescent="0.3">
      <c r="A272" s="51">
        <v>45927</v>
      </c>
      <c r="B272" s="52" t="s">
        <v>637</v>
      </c>
      <c r="C272" s="52" t="s">
        <v>667</v>
      </c>
      <c r="D272" s="52">
        <v>9</v>
      </c>
      <c r="E272" s="52" t="s">
        <v>661</v>
      </c>
      <c r="F272" s="52" t="s">
        <v>668</v>
      </c>
      <c r="G272" s="52" t="s">
        <v>632</v>
      </c>
      <c r="H272" s="53" t="s">
        <v>638</v>
      </c>
    </row>
    <row r="273" spans="1:8" ht="15" customHeight="1" x14ac:dyDescent="0.3">
      <c r="A273" s="51">
        <v>45928</v>
      </c>
      <c r="B273" s="52" t="s">
        <v>639</v>
      </c>
      <c r="C273" s="52" t="s">
        <v>667</v>
      </c>
      <c r="D273" s="52">
        <v>9</v>
      </c>
      <c r="E273" s="52" t="s">
        <v>661</v>
      </c>
      <c r="F273" s="52" t="s">
        <v>668</v>
      </c>
      <c r="G273" s="52" t="s">
        <v>632</v>
      </c>
      <c r="H273" s="53" t="s">
        <v>638</v>
      </c>
    </row>
    <row r="274" spans="1:8" ht="15" customHeight="1" x14ac:dyDescent="0.3">
      <c r="A274" s="48">
        <v>45929</v>
      </c>
      <c r="B274" s="49" t="s">
        <v>640</v>
      </c>
      <c r="C274" s="49" t="s">
        <v>667</v>
      </c>
      <c r="D274" s="49">
        <v>9</v>
      </c>
      <c r="E274" s="49" t="s">
        <v>661</v>
      </c>
      <c r="F274" s="49" t="s">
        <v>668</v>
      </c>
      <c r="G274" s="49" t="s">
        <v>635</v>
      </c>
      <c r="H274" s="50"/>
    </row>
    <row r="275" spans="1:8" ht="15" customHeight="1" x14ac:dyDescent="0.3">
      <c r="A275" s="48">
        <v>45930</v>
      </c>
      <c r="B275" s="49" t="s">
        <v>641</v>
      </c>
      <c r="C275" s="49" t="s">
        <v>667</v>
      </c>
      <c r="D275" s="49">
        <v>9</v>
      </c>
      <c r="E275" s="49" t="s">
        <v>661</v>
      </c>
      <c r="F275" s="49" t="s">
        <v>668</v>
      </c>
      <c r="G275" s="49" t="s">
        <v>635</v>
      </c>
      <c r="H275" s="50"/>
    </row>
    <row r="276" spans="1:8" ht="15" customHeight="1" x14ac:dyDescent="0.3">
      <c r="A276" s="54">
        <v>45931</v>
      </c>
      <c r="B276" s="55" t="s">
        <v>628</v>
      </c>
      <c r="C276" s="55" t="s">
        <v>670</v>
      </c>
      <c r="D276" s="55">
        <v>10</v>
      </c>
      <c r="E276" s="55" t="s">
        <v>671</v>
      </c>
      <c r="F276" s="55" t="s">
        <v>672</v>
      </c>
      <c r="G276" s="55" t="s">
        <v>635</v>
      </c>
      <c r="H276" s="56"/>
    </row>
    <row r="277" spans="1:8" ht="15" customHeight="1" x14ac:dyDescent="0.3">
      <c r="A277" s="48">
        <v>45932</v>
      </c>
      <c r="B277" s="49" t="s">
        <v>634</v>
      </c>
      <c r="C277" s="49" t="s">
        <v>670</v>
      </c>
      <c r="D277" s="49">
        <v>10</v>
      </c>
      <c r="E277" s="49" t="s">
        <v>671</v>
      </c>
      <c r="F277" s="49" t="s">
        <v>672</v>
      </c>
      <c r="G277" s="49" t="s">
        <v>635</v>
      </c>
      <c r="H277" s="50"/>
    </row>
    <row r="278" spans="1:8" ht="15" customHeight="1" x14ac:dyDescent="0.3">
      <c r="A278" s="48">
        <v>45933</v>
      </c>
      <c r="B278" s="49" t="s">
        <v>636</v>
      </c>
      <c r="C278" s="49" t="s">
        <v>670</v>
      </c>
      <c r="D278" s="49">
        <v>10</v>
      </c>
      <c r="E278" s="49" t="s">
        <v>671</v>
      </c>
      <c r="F278" s="49" t="s">
        <v>672</v>
      </c>
      <c r="G278" s="49" t="s">
        <v>635</v>
      </c>
      <c r="H278" s="50"/>
    </row>
    <row r="279" spans="1:8" ht="15" customHeight="1" x14ac:dyDescent="0.3">
      <c r="A279" s="51">
        <v>45934</v>
      </c>
      <c r="B279" s="52" t="s">
        <v>637</v>
      </c>
      <c r="C279" s="52" t="s">
        <v>670</v>
      </c>
      <c r="D279" s="52">
        <v>10</v>
      </c>
      <c r="E279" s="52" t="s">
        <v>671</v>
      </c>
      <c r="F279" s="52" t="s">
        <v>672</v>
      </c>
      <c r="G279" s="52" t="s">
        <v>632</v>
      </c>
      <c r="H279" s="53" t="s">
        <v>638</v>
      </c>
    </row>
    <row r="280" spans="1:8" ht="15" customHeight="1" x14ac:dyDescent="0.3">
      <c r="A280" s="51">
        <v>45935</v>
      </c>
      <c r="B280" s="52" t="s">
        <v>639</v>
      </c>
      <c r="C280" s="52" t="s">
        <v>670</v>
      </c>
      <c r="D280" s="52">
        <v>10</v>
      </c>
      <c r="E280" s="52" t="s">
        <v>671</v>
      </c>
      <c r="F280" s="52" t="s">
        <v>672</v>
      </c>
      <c r="G280" s="52" t="s">
        <v>632</v>
      </c>
      <c r="H280" s="53" t="s">
        <v>638</v>
      </c>
    </row>
    <row r="281" spans="1:8" ht="15" customHeight="1" x14ac:dyDescent="0.3">
      <c r="A281" s="48">
        <v>45936</v>
      </c>
      <c r="B281" s="49" t="s">
        <v>640</v>
      </c>
      <c r="C281" s="49" t="s">
        <v>670</v>
      </c>
      <c r="D281" s="49">
        <v>10</v>
      </c>
      <c r="E281" s="49" t="s">
        <v>671</v>
      </c>
      <c r="F281" s="49" t="s">
        <v>672</v>
      </c>
      <c r="G281" s="49" t="s">
        <v>635</v>
      </c>
      <c r="H281" s="50"/>
    </row>
    <row r="282" spans="1:8" ht="15" customHeight="1" x14ac:dyDescent="0.3">
      <c r="A282" s="48">
        <v>45937</v>
      </c>
      <c r="B282" s="49" t="s">
        <v>641</v>
      </c>
      <c r="C282" s="49" t="s">
        <v>670</v>
      </c>
      <c r="D282" s="49">
        <v>10</v>
      </c>
      <c r="E282" s="49" t="s">
        <v>671</v>
      </c>
      <c r="F282" s="49" t="s">
        <v>672</v>
      </c>
      <c r="G282" s="49" t="s">
        <v>635</v>
      </c>
      <c r="H282" s="50"/>
    </row>
    <row r="283" spans="1:8" ht="15" customHeight="1" x14ac:dyDescent="0.3">
      <c r="A283" s="48">
        <v>45938</v>
      </c>
      <c r="B283" s="49" t="s">
        <v>628</v>
      </c>
      <c r="C283" s="49" t="s">
        <v>670</v>
      </c>
      <c r="D283" s="49">
        <v>10</v>
      </c>
      <c r="E283" s="49" t="s">
        <v>671</v>
      </c>
      <c r="F283" s="49" t="s">
        <v>672</v>
      </c>
      <c r="G283" s="49" t="s">
        <v>635</v>
      </c>
      <c r="H283" s="50"/>
    </row>
    <row r="284" spans="1:8" ht="15" customHeight="1" x14ac:dyDescent="0.3">
      <c r="A284" s="48">
        <v>45939</v>
      </c>
      <c r="B284" s="49" t="s">
        <v>634</v>
      </c>
      <c r="C284" s="49" t="s">
        <v>670</v>
      </c>
      <c r="D284" s="49">
        <v>10</v>
      </c>
      <c r="E284" s="49" t="s">
        <v>671</v>
      </c>
      <c r="F284" s="49" t="s">
        <v>672</v>
      </c>
      <c r="G284" s="49" t="s">
        <v>635</v>
      </c>
      <c r="H284" s="50"/>
    </row>
    <row r="285" spans="1:8" ht="15" customHeight="1" x14ac:dyDescent="0.3">
      <c r="A285" s="48">
        <v>45940</v>
      </c>
      <c r="B285" s="49" t="s">
        <v>636</v>
      </c>
      <c r="C285" s="49" t="s">
        <v>670</v>
      </c>
      <c r="D285" s="49">
        <v>10</v>
      </c>
      <c r="E285" s="49" t="s">
        <v>671</v>
      </c>
      <c r="F285" s="49" t="s">
        <v>672</v>
      </c>
      <c r="G285" s="49" t="s">
        <v>635</v>
      </c>
      <c r="H285" s="50"/>
    </row>
    <row r="286" spans="1:8" ht="15" customHeight="1" x14ac:dyDescent="0.3">
      <c r="A286" s="51">
        <v>45941</v>
      </c>
      <c r="B286" s="52" t="s">
        <v>637</v>
      </c>
      <c r="C286" s="52" t="s">
        <v>670</v>
      </c>
      <c r="D286" s="52">
        <v>10</v>
      </c>
      <c r="E286" s="52" t="s">
        <v>671</v>
      </c>
      <c r="F286" s="52" t="s">
        <v>672</v>
      </c>
      <c r="G286" s="52" t="s">
        <v>632</v>
      </c>
      <c r="H286" s="53" t="s">
        <v>638</v>
      </c>
    </row>
    <row r="287" spans="1:8" ht="15" customHeight="1" x14ac:dyDescent="0.3">
      <c r="A287" s="51">
        <v>45942</v>
      </c>
      <c r="B287" s="52" t="s">
        <v>639</v>
      </c>
      <c r="C287" s="52" t="s">
        <v>670</v>
      </c>
      <c r="D287" s="52">
        <v>10</v>
      </c>
      <c r="E287" s="52" t="s">
        <v>671</v>
      </c>
      <c r="F287" s="52" t="s">
        <v>672</v>
      </c>
      <c r="G287" s="52" t="s">
        <v>632</v>
      </c>
      <c r="H287" s="53" t="s">
        <v>638</v>
      </c>
    </row>
    <row r="288" spans="1:8" ht="15" customHeight="1" x14ac:dyDescent="0.3">
      <c r="A288" s="48">
        <v>45943</v>
      </c>
      <c r="B288" s="49" t="s">
        <v>640</v>
      </c>
      <c r="C288" s="49" t="s">
        <v>670</v>
      </c>
      <c r="D288" s="49">
        <v>10</v>
      </c>
      <c r="E288" s="49" t="s">
        <v>671</v>
      </c>
      <c r="F288" s="49" t="s">
        <v>672</v>
      </c>
      <c r="G288" s="49" t="s">
        <v>635</v>
      </c>
      <c r="H288" s="50"/>
    </row>
    <row r="289" spans="1:8" ht="15" customHeight="1" x14ac:dyDescent="0.3">
      <c r="A289" s="48">
        <v>45944</v>
      </c>
      <c r="B289" s="49" t="s">
        <v>641</v>
      </c>
      <c r="C289" s="49" t="s">
        <v>670</v>
      </c>
      <c r="D289" s="49">
        <v>10</v>
      </c>
      <c r="E289" s="49" t="s">
        <v>671</v>
      </c>
      <c r="F289" s="49" t="s">
        <v>672</v>
      </c>
      <c r="G289" s="49" t="s">
        <v>635</v>
      </c>
      <c r="H289" s="50"/>
    </row>
    <row r="290" spans="1:8" ht="15" customHeight="1" x14ac:dyDescent="0.3">
      <c r="A290" s="48">
        <v>45945</v>
      </c>
      <c r="B290" s="49" t="s">
        <v>628</v>
      </c>
      <c r="C290" s="49" t="s">
        <v>670</v>
      </c>
      <c r="D290" s="49">
        <v>10</v>
      </c>
      <c r="E290" s="49" t="s">
        <v>671</v>
      </c>
      <c r="F290" s="49" t="s">
        <v>672</v>
      </c>
      <c r="G290" s="49" t="s">
        <v>635</v>
      </c>
      <c r="H290" s="50"/>
    </row>
    <row r="291" spans="1:8" ht="15" customHeight="1" x14ac:dyDescent="0.3">
      <c r="A291" s="48">
        <v>45946</v>
      </c>
      <c r="B291" s="49" t="s">
        <v>634</v>
      </c>
      <c r="C291" s="49" t="s">
        <v>670</v>
      </c>
      <c r="D291" s="49">
        <v>10</v>
      </c>
      <c r="E291" s="49" t="s">
        <v>671</v>
      </c>
      <c r="F291" s="49" t="s">
        <v>672</v>
      </c>
      <c r="G291" s="49" t="s">
        <v>635</v>
      </c>
      <c r="H291" s="50"/>
    </row>
    <row r="292" spans="1:8" ht="15" customHeight="1" x14ac:dyDescent="0.3">
      <c r="A292" s="48">
        <v>45947</v>
      </c>
      <c r="B292" s="49" t="s">
        <v>636</v>
      </c>
      <c r="C292" s="49" t="s">
        <v>670</v>
      </c>
      <c r="D292" s="49">
        <v>10</v>
      </c>
      <c r="E292" s="49" t="s">
        <v>671</v>
      </c>
      <c r="F292" s="49" t="s">
        <v>672</v>
      </c>
      <c r="G292" s="49" t="s">
        <v>635</v>
      </c>
      <c r="H292" s="50"/>
    </row>
    <row r="293" spans="1:8" ht="15" customHeight="1" x14ac:dyDescent="0.3">
      <c r="A293" s="51">
        <v>45948</v>
      </c>
      <c r="B293" s="52" t="s">
        <v>637</v>
      </c>
      <c r="C293" s="52" t="s">
        <v>670</v>
      </c>
      <c r="D293" s="52">
        <v>10</v>
      </c>
      <c r="E293" s="52" t="s">
        <v>671</v>
      </c>
      <c r="F293" s="52" t="s">
        <v>672</v>
      </c>
      <c r="G293" s="52" t="s">
        <v>632</v>
      </c>
      <c r="H293" s="53" t="s">
        <v>638</v>
      </c>
    </row>
    <row r="294" spans="1:8" ht="15" customHeight="1" x14ac:dyDescent="0.3">
      <c r="A294" s="51">
        <v>45949</v>
      </c>
      <c r="B294" s="52" t="s">
        <v>639</v>
      </c>
      <c r="C294" s="52" t="s">
        <v>670</v>
      </c>
      <c r="D294" s="52">
        <v>10</v>
      </c>
      <c r="E294" s="52" t="s">
        <v>671</v>
      </c>
      <c r="F294" s="52" t="s">
        <v>672</v>
      </c>
      <c r="G294" s="52" t="s">
        <v>632</v>
      </c>
      <c r="H294" s="53" t="s">
        <v>638</v>
      </c>
    </row>
    <row r="295" spans="1:8" ht="15" customHeight="1" x14ac:dyDescent="0.3">
      <c r="A295" s="45">
        <v>45950</v>
      </c>
      <c r="B295" s="46" t="s">
        <v>640</v>
      </c>
      <c r="C295" s="46" t="s">
        <v>670</v>
      </c>
      <c r="D295" s="46">
        <v>10</v>
      </c>
      <c r="E295" s="46" t="s">
        <v>671</v>
      </c>
      <c r="F295" s="46" t="s">
        <v>672</v>
      </c>
      <c r="G295" s="46" t="s">
        <v>632</v>
      </c>
      <c r="H295" s="47" t="s">
        <v>673</v>
      </c>
    </row>
    <row r="296" spans="1:8" ht="15" customHeight="1" x14ac:dyDescent="0.3">
      <c r="A296" s="48">
        <v>45951</v>
      </c>
      <c r="B296" s="49" t="s">
        <v>641</v>
      </c>
      <c r="C296" s="49" t="s">
        <v>670</v>
      </c>
      <c r="D296" s="49">
        <v>10</v>
      </c>
      <c r="E296" s="49" t="s">
        <v>671</v>
      </c>
      <c r="F296" s="49" t="s">
        <v>672</v>
      </c>
      <c r="G296" s="49" t="s">
        <v>635</v>
      </c>
      <c r="H296" s="50"/>
    </row>
    <row r="297" spans="1:8" ht="15" customHeight="1" x14ac:dyDescent="0.3">
      <c r="A297" s="48">
        <v>45952</v>
      </c>
      <c r="B297" s="49" t="s">
        <v>628</v>
      </c>
      <c r="C297" s="49" t="s">
        <v>670</v>
      </c>
      <c r="D297" s="49">
        <v>10</v>
      </c>
      <c r="E297" s="49" t="s">
        <v>671</v>
      </c>
      <c r="F297" s="49" t="s">
        <v>672</v>
      </c>
      <c r="G297" s="49" t="s">
        <v>635</v>
      </c>
      <c r="H297" s="50"/>
    </row>
    <row r="298" spans="1:8" ht="15" customHeight="1" x14ac:dyDescent="0.3">
      <c r="A298" s="48">
        <v>45953</v>
      </c>
      <c r="B298" s="49" t="s">
        <v>634</v>
      </c>
      <c r="C298" s="49" t="s">
        <v>670</v>
      </c>
      <c r="D298" s="49">
        <v>10</v>
      </c>
      <c r="E298" s="49" t="s">
        <v>671</v>
      </c>
      <c r="F298" s="49" t="s">
        <v>672</v>
      </c>
      <c r="G298" s="49" t="s">
        <v>635</v>
      </c>
      <c r="H298" s="50"/>
    </row>
    <row r="299" spans="1:8" ht="15" customHeight="1" x14ac:dyDescent="0.3">
      <c r="A299" s="48">
        <v>45954</v>
      </c>
      <c r="B299" s="49" t="s">
        <v>636</v>
      </c>
      <c r="C299" s="49" t="s">
        <v>670</v>
      </c>
      <c r="D299" s="49">
        <v>10</v>
      </c>
      <c r="E299" s="49" t="s">
        <v>671</v>
      </c>
      <c r="F299" s="49" t="s">
        <v>672</v>
      </c>
      <c r="G299" s="49" t="s">
        <v>635</v>
      </c>
      <c r="H299" s="50"/>
    </row>
    <row r="300" spans="1:8" ht="15" customHeight="1" x14ac:dyDescent="0.3">
      <c r="A300" s="51">
        <v>45955</v>
      </c>
      <c r="B300" s="52" t="s">
        <v>637</v>
      </c>
      <c r="C300" s="52" t="s">
        <v>670</v>
      </c>
      <c r="D300" s="52">
        <v>10</v>
      </c>
      <c r="E300" s="52" t="s">
        <v>671</v>
      </c>
      <c r="F300" s="52" t="s">
        <v>672</v>
      </c>
      <c r="G300" s="52" t="s">
        <v>632</v>
      </c>
      <c r="H300" s="53" t="s">
        <v>638</v>
      </c>
    </row>
    <row r="301" spans="1:8" ht="15" customHeight="1" x14ac:dyDescent="0.3">
      <c r="A301" s="51">
        <v>45956</v>
      </c>
      <c r="B301" s="52" t="s">
        <v>639</v>
      </c>
      <c r="C301" s="52" t="s">
        <v>670</v>
      </c>
      <c r="D301" s="52">
        <v>10</v>
      </c>
      <c r="E301" s="52" t="s">
        <v>671</v>
      </c>
      <c r="F301" s="52" t="s">
        <v>672</v>
      </c>
      <c r="G301" s="52" t="s">
        <v>632</v>
      </c>
      <c r="H301" s="53" t="s">
        <v>638</v>
      </c>
    </row>
    <row r="302" spans="1:8" ht="15" customHeight="1" x14ac:dyDescent="0.3">
      <c r="A302" s="48">
        <v>45957</v>
      </c>
      <c r="B302" s="49" t="s">
        <v>640</v>
      </c>
      <c r="C302" s="49" t="s">
        <v>670</v>
      </c>
      <c r="D302" s="49">
        <v>10</v>
      </c>
      <c r="E302" s="49" t="s">
        <v>671</v>
      </c>
      <c r="F302" s="49" t="s">
        <v>672</v>
      </c>
      <c r="G302" s="49" t="s">
        <v>635</v>
      </c>
      <c r="H302" s="50"/>
    </row>
    <row r="303" spans="1:8" ht="15" customHeight="1" x14ac:dyDescent="0.3">
      <c r="A303" s="48">
        <v>45958</v>
      </c>
      <c r="B303" s="49" t="s">
        <v>641</v>
      </c>
      <c r="C303" s="49" t="s">
        <v>670</v>
      </c>
      <c r="D303" s="49">
        <v>10</v>
      </c>
      <c r="E303" s="49" t="s">
        <v>671</v>
      </c>
      <c r="F303" s="49" t="s">
        <v>672</v>
      </c>
      <c r="G303" s="49" t="s">
        <v>635</v>
      </c>
      <c r="H303" s="50"/>
    </row>
    <row r="304" spans="1:8" ht="15" customHeight="1" x14ac:dyDescent="0.3">
      <c r="A304" s="48">
        <v>45959</v>
      </c>
      <c r="B304" s="49" t="s">
        <v>628</v>
      </c>
      <c r="C304" s="49" t="s">
        <v>670</v>
      </c>
      <c r="D304" s="49">
        <v>10</v>
      </c>
      <c r="E304" s="49" t="s">
        <v>671</v>
      </c>
      <c r="F304" s="49" t="s">
        <v>672</v>
      </c>
      <c r="G304" s="49" t="s">
        <v>635</v>
      </c>
      <c r="H304" s="50"/>
    </row>
    <row r="305" spans="1:8" ht="15" customHeight="1" x14ac:dyDescent="0.3">
      <c r="A305" s="48">
        <v>45960</v>
      </c>
      <c r="B305" s="49" t="s">
        <v>634</v>
      </c>
      <c r="C305" s="49" t="s">
        <v>670</v>
      </c>
      <c r="D305" s="49">
        <v>10</v>
      </c>
      <c r="E305" s="49" t="s">
        <v>671</v>
      </c>
      <c r="F305" s="49" t="s">
        <v>672</v>
      </c>
      <c r="G305" s="49" t="s">
        <v>635</v>
      </c>
      <c r="H305" s="50"/>
    </row>
    <row r="306" spans="1:8" ht="15" customHeight="1" x14ac:dyDescent="0.3">
      <c r="A306" s="48">
        <v>45961</v>
      </c>
      <c r="B306" s="49" t="s">
        <v>636</v>
      </c>
      <c r="C306" s="49" t="s">
        <v>670</v>
      </c>
      <c r="D306" s="49">
        <v>10</v>
      </c>
      <c r="E306" s="49" t="s">
        <v>671</v>
      </c>
      <c r="F306" s="49" t="s">
        <v>672</v>
      </c>
      <c r="G306" s="49" t="s">
        <v>635</v>
      </c>
      <c r="H306" s="50"/>
    </row>
    <row r="307" spans="1:8" ht="15" customHeight="1" x14ac:dyDescent="0.3">
      <c r="A307" s="45">
        <v>45962</v>
      </c>
      <c r="B307" s="46" t="s">
        <v>637</v>
      </c>
      <c r="C307" s="46" t="s">
        <v>674</v>
      </c>
      <c r="D307" s="46">
        <v>11</v>
      </c>
      <c r="E307" s="46" t="s">
        <v>671</v>
      </c>
      <c r="F307" s="46" t="s">
        <v>675</v>
      </c>
      <c r="G307" s="46" t="s">
        <v>632</v>
      </c>
      <c r="H307" s="47" t="s">
        <v>676</v>
      </c>
    </row>
    <row r="308" spans="1:8" ht="15" customHeight="1" x14ac:dyDescent="0.3">
      <c r="A308" s="51">
        <v>45963</v>
      </c>
      <c r="B308" s="52" t="s">
        <v>639</v>
      </c>
      <c r="C308" s="52" t="s">
        <v>674</v>
      </c>
      <c r="D308" s="52">
        <v>11</v>
      </c>
      <c r="E308" s="52" t="s">
        <v>671</v>
      </c>
      <c r="F308" s="52" t="s">
        <v>675</v>
      </c>
      <c r="G308" s="52" t="s">
        <v>632</v>
      </c>
      <c r="H308" s="53" t="s">
        <v>638</v>
      </c>
    </row>
    <row r="309" spans="1:8" ht="15" customHeight="1" x14ac:dyDescent="0.3">
      <c r="A309" s="48">
        <v>45964</v>
      </c>
      <c r="B309" s="49" t="s">
        <v>640</v>
      </c>
      <c r="C309" s="49" t="s">
        <v>674</v>
      </c>
      <c r="D309" s="49">
        <v>11</v>
      </c>
      <c r="E309" s="49" t="s">
        <v>671</v>
      </c>
      <c r="F309" s="49" t="s">
        <v>675</v>
      </c>
      <c r="G309" s="49" t="s">
        <v>635</v>
      </c>
      <c r="H309" s="50"/>
    </row>
    <row r="310" spans="1:8" ht="15" customHeight="1" x14ac:dyDescent="0.3">
      <c r="A310" s="48">
        <v>45965</v>
      </c>
      <c r="B310" s="49" t="s">
        <v>641</v>
      </c>
      <c r="C310" s="49" t="s">
        <v>674</v>
      </c>
      <c r="D310" s="49">
        <v>11</v>
      </c>
      <c r="E310" s="49" t="s">
        <v>671</v>
      </c>
      <c r="F310" s="49" t="s">
        <v>675</v>
      </c>
      <c r="G310" s="49" t="s">
        <v>635</v>
      </c>
      <c r="H310" s="50"/>
    </row>
    <row r="311" spans="1:8" ht="15" customHeight="1" x14ac:dyDescent="0.3">
      <c r="A311" s="48">
        <v>45966</v>
      </c>
      <c r="B311" s="49" t="s">
        <v>628</v>
      </c>
      <c r="C311" s="49" t="s">
        <v>674</v>
      </c>
      <c r="D311" s="49">
        <v>11</v>
      </c>
      <c r="E311" s="49" t="s">
        <v>671</v>
      </c>
      <c r="F311" s="49" t="s">
        <v>675</v>
      </c>
      <c r="G311" s="49" t="s">
        <v>635</v>
      </c>
      <c r="H311" s="50"/>
    </row>
    <row r="312" spans="1:8" ht="15" customHeight="1" x14ac:dyDescent="0.3">
      <c r="A312" s="48">
        <v>45967</v>
      </c>
      <c r="B312" s="49" t="s">
        <v>634</v>
      </c>
      <c r="C312" s="49" t="s">
        <v>674</v>
      </c>
      <c r="D312" s="49">
        <v>11</v>
      </c>
      <c r="E312" s="49" t="s">
        <v>671</v>
      </c>
      <c r="F312" s="49" t="s">
        <v>675</v>
      </c>
      <c r="G312" s="49" t="s">
        <v>635</v>
      </c>
      <c r="H312" s="50"/>
    </row>
    <row r="313" spans="1:8" ht="15" customHeight="1" x14ac:dyDescent="0.3">
      <c r="A313" s="48">
        <v>45968</v>
      </c>
      <c r="B313" s="49" t="s">
        <v>636</v>
      </c>
      <c r="C313" s="49" t="s">
        <v>674</v>
      </c>
      <c r="D313" s="49">
        <v>11</v>
      </c>
      <c r="E313" s="49" t="s">
        <v>671</v>
      </c>
      <c r="F313" s="49" t="s">
        <v>675</v>
      </c>
      <c r="G313" s="49" t="s">
        <v>635</v>
      </c>
      <c r="H313" s="50"/>
    </row>
    <row r="314" spans="1:8" ht="15" customHeight="1" x14ac:dyDescent="0.3">
      <c r="A314" s="51">
        <v>45969</v>
      </c>
      <c r="B314" s="52" t="s">
        <v>637</v>
      </c>
      <c r="C314" s="52" t="s">
        <v>674</v>
      </c>
      <c r="D314" s="52">
        <v>11</v>
      </c>
      <c r="E314" s="52" t="s">
        <v>671</v>
      </c>
      <c r="F314" s="52" t="s">
        <v>675</v>
      </c>
      <c r="G314" s="52" t="s">
        <v>632</v>
      </c>
      <c r="H314" s="53" t="s">
        <v>638</v>
      </c>
    </row>
    <row r="315" spans="1:8" ht="15" customHeight="1" x14ac:dyDescent="0.3">
      <c r="A315" s="51">
        <v>45970</v>
      </c>
      <c r="B315" s="52" t="s">
        <v>639</v>
      </c>
      <c r="C315" s="52" t="s">
        <v>674</v>
      </c>
      <c r="D315" s="52">
        <v>11</v>
      </c>
      <c r="E315" s="52" t="s">
        <v>671</v>
      </c>
      <c r="F315" s="52" t="s">
        <v>675</v>
      </c>
      <c r="G315" s="52" t="s">
        <v>632</v>
      </c>
      <c r="H315" s="53" t="s">
        <v>638</v>
      </c>
    </row>
    <row r="316" spans="1:8" ht="15" customHeight="1" x14ac:dyDescent="0.3">
      <c r="A316" s="48">
        <v>45971</v>
      </c>
      <c r="B316" s="49" t="s">
        <v>640</v>
      </c>
      <c r="C316" s="49" t="s">
        <v>674</v>
      </c>
      <c r="D316" s="49">
        <v>11</v>
      </c>
      <c r="E316" s="49" t="s">
        <v>671</v>
      </c>
      <c r="F316" s="49" t="s">
        <v>675</v>
      </c>
      <c r="G316" s="49" t="s">
        <v>635</v>
      </c>
      <c r="H316" s="50"/>
    </row>
    <row r="317" spans="1:8" ht="15" customHeight="1" x14ac:dyDescent="0.3">
      <c r="A317" s="48">
        <v>45972</v>
      </c>
      <c r="B317" s="49" t="s">
        <v>641</v>
      </c>
      <c r="C317" s="49" t="s">
        <v>674</v>
      </c>
      <c r="D317" s="49">
        <v>11</v>
      </c>
      <c r="E317" s="49" t="s">
        <v>671</v>
      </c>
      <c r="F317" s="49" t="s">
        <v>675</v>
      </c>
      <c r="G317" s="49" t="s">
        <v>635</v>
      </c>
      <c r="H317" s="50"/>
    </row>
    <row r="318" spans="1:8" ht="15" customHeight="1" x14ac:dyDescent="0.3">
      <c r="A318" s="48">
        <v>45973</v>
      </c>
      <c r="B318" s="49" t="s">
        <v>628</v>
      </c>
      <c r="C318" s="49" t="s">
        <v>674</v>
      </c>
      <c r="D318" s="49">
        <v>11</v>
      </c>
      <c r="E318" s="49" t="s">
        <v>671</v>
      </c>
      <c r="F318" s="49" t="s">
        <v>675</v>
      </c>
      <c r="G318" s="49" t="s">
        <v>635</v>
      </c>
      <c r="H318" s="50"/>
    </row>
    <row r="319" spans="1:8" ht="15" customHeight="1" x14ac:dyDescent="0.3">
      <c r="A319" s="48">
        <v>45974</v>
      </c>
      <c r="B319" s="49" t="s">
        <v>634</v>
      </c>
      <c r="C319" s="49" t="s">
        <v>674</v>
      </c>
      <c r="D319" s="49">
        <v>11</v>
      </c>
      <c r="E319" s="49" t="s">
        <v>671</v>
      </c>
      <c r="F319" s="49" t="s">
        <v>675</v>
      </c>
      <c r="G319" s="49" t="s">
        <v>635</v>
      </c>
      <c r="H319" s="50"/>
    </row>
    <row r="320" spans="1:8" ht="15" customHeight="1" x14ac:dyDescent="0.3">
      <c r="A320" s="48">
        <v>45975</v>
      </c>
      <c r="B320" s="49" t="s">
        <v>636</v>
      </c>
      <c r="C320" s="49" t="s">
        <v>674</v>
      </c>
      <c r="D320" s="49">
        <v>11</v>
      </c>
      <c r="E320" s="49" t="s">
        <v>671</v>
      </c>
      <c r="F320" s="49" t="s">
        <v>675</v>
      </c>
      <c r="G320" s="49" t="s">
        <v>635</v>
      </c>
      <c r="H320" s="50"/>
    </row>
    <row r="321" spans="1:8" ht="15" customHeight="1" x14ac:dyDescent="0.3">
      <c r="A321" s="51">
        <v>45976</v>
      </c>
      <c r="B321" s="52" t="s">
        <v>637</v>
      </c>
      <c r="C321" s="52" t="s">
        <v>674</v>
      </c>
      <c r="D321" s="52">
        <v>11</v>
      </c>
      <c r="E321" s="52" t="s">
        <v>671</v>
      </c>
      <c r="F321" s="52" t="s">
        <v>675</v>
      </c>
      <c r="G321" s="52" t="s">
        <v>632</v>
      </c>
      <c r="H321" s="53" t="s">
        <v>638</v>
      </c>
    </row>
    <row r="322" spans="1:8" ht="15" customHeight="1" x14ac:dyDescent="0.3">
      <c r="A322" s="51">
        <v>45977</v>
      </c>
      <c r="B322" s="52" t="s">
        <v>639</v>
      </c>
      <c r="C322" s="52" t="s">
        <v>674</v>
      </c>
      <c r="D322" s="52">
        <v>11</v>
      </c>
      <c r="E322" s="52" t="s">
        <v>671</v>
      </c>
      <c r="F322" s="52" t="s">
        <v>675</v>
      </c>
      <c r="G322" s="52" t="s">
        <v>632</v>
      </c>
      <c r="H322" s="53" t="s">
        <v>638</v>
      </c>
    </row>
    <row r="323" spans="1:8" ht="15" customHeight="1" x14ac:dyDescent="0.3">
      <c r="A323" s="48">
        <v>45978</v>
      </c>
      <c r="B323" s="49" t="s">
        <v>640</v>
      </c>
      <c r="C323" s="49" t="s">
        <v>674</v>
      </c>
      <c r="D323" s="49">
        <v>11</v>
      </c>
      <c r="E323" s="49" t="s">
        <v>671</v>
      </c>
      <c r="F323" s="49" t="s">
        <v>675</v>
      </c>
      <c r="G323" s="49" t="s">
        <v>635</v>
      </c>
      <c r="H323" s="50"/>
    </row>
    <row r="324" spans="1:8" ht="15" customHeight="1" x14ac:dyDescent="0.3">
      <c r="A324" s="48">
        <v>45979</v>
      </c>
      <c r="B324" s="49" t="s">
        <v>641</v>
      </c>
      <c r="C324" s="49" t="s">
        <v>674</v>
      </c>
      <c r="D324" s="49">
        <v>11</v>
      </c>
      <c r="E324" s="49" t="s">
        <v>671</v>
      </c>
      <c r="F324" s="49" t="s">
        <v>675</v>
      </c>
      <c r="G324" s="49" t="s">
        <v>635</v>
      </c>
      <c r="H324" s="50"/>
    </row>
    <row r="325" spans="1:8" ht="15" customHeight="1" x14ac:dyDescent="0.3">
      <c r="A325" s="48">
        <v>45980</v>
      </c>
      <c r="B325" s="49" t="s">
        <v>628</v>
      </c>
      <c r="C325" s="49" t="s">
        <v>674</v>
      </c>
      <c r="D325" s="49">
        <v>11</v>
      </c>
      <c r="E325" s="49" t="s">
        <v>671</v>
      </c>
      <c r="F325" s="49" t="s">
        <v>675</v>
      </c>
      <c r="G325" s="49" t="s">
        <v>635</v>
      </c>
      <c r="H325" s="50"/>
    </row>
    <row r="326" spans="1:8" ht="15" customHeight="1" x14ac:dyDescent="0.3">
      <c r="A326" s="48">
        <v>45981</v>
      </c>
      <c r="B326" s="49" t="s">
        <v>634</v>
      </c>
      <c r="C326" s="49" t="s">
        <v>674</v>
      </c>
      <c r="D326" s="49">
        <v>11</v>
      </c>
      <c r="E326" s="49" t="s">
        <v>671</v>
      </c>
      <c r="F326" s="49" t="s">
        <v>675</v>
      </c>
      <c r="G326" s="49" t="s">
        <v>635</v>
      </c>
      <c r="H326" s="50"/>
    </row>
    <row r="327" spans="1:8" ht="15" customHeight="1" x14ac:dyDescent="0.3">
      <c r="A327" s="48">
        <v>45982</v>
      </c>
      <c r="B327" s="49" t="s">
        <v>636</v>
      </c>
      <c r="C327" s="49" t="s">
        <v>674</v>
      </c>
      <c r="D327" s="49">
        <v>11</v>
      </c>
      <c r="E327" s="49" t="s">
        <v>671</v>
      </c>
      <c r="F327" s="49" t="s">
        <v>675</v>
      </c>
      <c r="G327" s="49" t="s">
        <v>635</v>
      </c>
      <c r="H327" s="50"/>
    </row>
    <row r="328" spans="1:8" ht="15" customHeight="1" x14ac:dyDescent="0.3">
      <c r="A328" s="51">
        <v>45983</v>
      </c>
      <c r="B328" s="52" t="s">
        <v>637</v>
      </c>
      <c r="C328" s="52" t="s">
        <v>674</v>
      </c>
      <c r="D328" s="52">
        <v>11</v>
      </c>
      <c r="E328" s="52" t="s">
        <v>671</v>
      </c>
      <c r="F328" s="52" t="s">
        <v>675</v>
      </c>
      <c r="G328" s="52" t="s">
        <v>632</v>
      </c>
      <c r="H328" s="53" t="s">
        <v>638</v>
      </c>
    </row>
    <row r="329" spans="1:8" ht="15" customHeight="1" x14ac:dyDescent="0.3">
      <c r="A329" s="51">
        <v>45984</v>
      </c>
      <c r="B329" s="52" t="s">
        <v>639</v>
      </c>
      <c r="C329" s="52" t="s">
        <v>674</v>
      </c>
      <c r="D329" s="52">
        <v>11</v>
      </c>
      <c r="E329" s="52" t="s">
        <v>671</v>
      </c>
      <c r="F329" s="52" t="s">
        <v>675</v>
      </c>
      <c r="G329" s="52" t="s">
        <v>632</v>
      </c>
      <c r="H329" s="53" t="s">
        <v>638</v>
      </c>
    </row>
    <row r="330" spans="1:8" ht="15" customHeight="1" x14ac:dyDescent="0.3">
      <c r="A330" s="48">
        <v>45985</v>
      </c>
      <c r="B330" s="49" t="s">
        <v>640</v>
      </c>
      <c r="C330" s="49" t="s">
        <v>674</v>
      </c>
      <c r="D330" s="49">
        <v>11</v>
      </c>
      <c r="E330" s="49" t="s">
        <v>671</v>
      </c>
      <c r="F330" s="49" t="s">
        <v>675</v>
      </c>
      <c r="G330" s="49" t="s">
        <v>635</v>
      </c>
      <c r="H330" s="50"/>
    </row>
    <row r="331" spans="1:8" ht="15" customHeight="1" x14ac:dyDescent="0.3">
      <c r="A331" s="48">
        <v>45986</v>
      </c>
      <c r="B331" s="49" t="s">
        <v>641</v>
      </c>
      <c r="C331" s="49" t="s">
        <v>674</v>
      </c>
      <c r="D331" s="49">
        <v>11</v>
      </c>
      <c r="E331" s="49" t="s">
        <v>671</v>
      </c>
      <c r="F331" s="49" t="s">
        <v>675</v>
      </c>
      <c r="G331" s="49" t="s">
        <v>635</v>
      </c>
      <c r="H331" s="50"/>
    </row>
    <row r="332" spans="1:8" ht="15" customHeight="1" x14ac:dyDescent="0.3">
      <c r="A332" s="48">
        <v>45987</v>
      </c>
      <c r="B332" s="49" t="s">
        <v>628</v>
      </c>
      <c r="C332" s="49" t="s">
        <v>674</v>
      </c>
      <c r="D332" s="49">
        <v>11</v>
      </c>
      <c r="E332" s="49" t="s">
        <v>671</v>
      </c>
      <c r="F332" s="49" t="s">
        <v>675</v>
      </c>
      <c r="G332" s="49" t="s">
        <v>635</v>
      </c>
      <c r="H332" s="50"/>
    </row>
    <row r="333" spans="1:8" ht="15" customHeight="1" x14ac:dyDescent="0.3">
      <c r="A333" s="48">
        <v>45988</v>
      </c>
      <c r="B333" s="49" t="s">
        <v>634</v>
      </c>
      <c r="C333" s="49" t="s">
        <v>674</v>
      </c>
      <c r="D333" s="49">
        <v>11</v>
      </c>
      <c r="E333" s="49" t="s">
        <v>671</v>
      </c>
      <c r="F333" s="49" t="s">
        <v>675</v>
      </c>
      <c r="G333" s="49" t="s">
        <v>635</v>
      </c>
      <c r="H333" s="50"/>
    </row>
    <row r="334" spans="1:8" ht="15" customHeight="1" x14ac:dyDescent="0.3">
      <c r="A334" s="48">
        <v>45989</v>
      </c>
      <c r="B334" s="49" t="s">
        <v>636</v>
      </c>
      <c r="C334" s="49" t="s">
        <v>674</v>
      </c>
      <c r="D334" s="49">
        <v>11</v>
      </c>
      <c r="E334" s="49" t="s">
        <v>671</v>
      </c>
      <c r="F334" s="49" t="s">
        <v>675</v>
      </c>
      <c r="G334" s="49" t="s">
        <v>635</v>
      </c>
      <c r="H334" s="50"/>
    </row>
    <row r="335" spans="1:8" ht="15" customHeight="1" x14ac:dyDescent="0.3">
      <c r="A335" s="51">
        <v>45990</v>
      </c>
      <c r="B335" s="52" t="s">
        <v>637</v>
      </c>
      <c r="C335" s="52" t="s">
        <v>674</v>
      </c>
      <c r="D335" s="52">
        <v>11</v>
      </c>
      <c r="E335" s="52" t="s">
        <v>671</v>
      </c>
      <c r="F335" s="52" t="s">
        <v>675</v>
      </c>
      <c r="G335" s="52" t="s">
        <v>632</v>
      </c>
      <c r="H335" s="53" t="s">
        <v>638</v>
      </c>
    </row>
    <row r="336" spans="1:8" ht="15" customHeight="1" x14ac:dyDescent="0.3">
      <c r="A336" s="51">
        <v>45991</v>
      </c>
      <c r="B336" s="52" t="s">
        <v>639</v>
      </c>
      <c r="C336" s="52" t="s">
        <v>674</v>
      </c>
      <c r="D336" s="52">
        <v>11</v>
      </c>
      <c r="E336" s="52" t="s">
        <v>671</v>
      </c>
      <c r="F336" s="52" t="s">
        <v>675</v>
      </c>
      <c r="G336" s="52" t="s">
        <v>632</v>
      </c>
      <c r="H336" s="53" t="s">
        <v>638</v>
      </c>
    </row>
    <row r="337" spans="1:8" ht="15" customHeight="1" x14ac:dyDescent="0.3">
      <c r="A337" s="54">
        <v>45992</v>
      </c>
      <c r="B337" s="55" t="s">
        <v>640</v>
      </c>
      <c r="C337" s="55" t="s">
        <v>677</v>
      </c>
      <c r="D337" s="55">
        <v>12</v>
      </c>
      <c r="E337" s="55" t="s">
        <v>671</v>
      </c>
      <c r="F337" s="55" t="s">
        <v>678</v>
      </c>
      <c r="G337" s="55" t="s">
        <v>635</v>
      </c>
      <c r="H337" s="56"/>
    </row>
    <row r="338" spans="1:8" ht="15" customHeight="1" x14ac:dyDescent="0.3">
      <c r="A338" s="48">
        <v>45993</v>
      </c>
      <c r="B338" s="49" t="s">
        <v>641</v>
      </c>
      <c r="C338" s="49" t="s">
        <v>677</v>
      </c>
      <c r="D338" s="49">
        <v>12</v>
      </c>
      <c r="E338" s="49" t="s">
        <v>671</v>
      </c>
      <c r="F338" s="49" t="s">
        <v>678</v>
      </c>
      <c r="G338" s="49" t="s">
        <v>635</v>
      </c>
      <c r="H338" s="50"/>
    </row>
    <row r="339" spans="1:8" ht="15" customHeight="1" x14ac:dyDescent="0.3">
      <c r="A339" s="48">
        <v>45994</v>
      </c>
      <c r="B339" s="49" t="s">
        <v>628</v>
      </c>
      <c r="C339" s="49" t="s">
        <v>677</v>
      </c>
      <c r="D339" s="49">
        <v>12</v>
      </c>
      <c r="E339" s="49" t="s">
        <v>671</v>
      </c>
      <c r="F339" s="49" t="s">
        <v>678</v>
      </c>
      <c r="G339" s="49" t="s">
        <v>635</v>
      </c>
      <c r="H339" s="50"/>
    </row>
    <row r="340" spans="1:8" ht="15" customHeight="1" x14ac:dyDescent="0.3">
      <c r="A340" s="48">
        <v>45995</v>
      </c>
      <c r="B340" s="49" t="s">
        <v>634</v>
      </c>
      <c r="C340" s="49" t="s">
        <v>677</v>
      </c>
      <c r="D340" s="49">
        <v>12</v>
      </c>
      <c r="E340" s="49" t="s">
        <v>671</v>
      </c>
      <c r="F340" s="49" t="s">
        <v>678</v>
      </c>
      <c r="G340" s="49" t="s">
        <v>635</v>
      </c>
      <c r="H340" s="50"/>
    </row>
    <row r="341" spans="1:8" ht="15" customHeight="1" x14ac:dyDescent="0.3">
      <c r="A341" s="48">
        <v>45996</v>
      </c>
      <c r="B341" s="49" t="s">
        <v>636</v>
      </c>
      <c r="C341" s="49" t="s">
        <v>677</v>
      </c>
      <c r="D341" s="49">
        <v>12</v>
      </c>
      <c r="E341" s="49" t="s">
        <v>671</v>
      </c>
      <c r="F341" s="49" t="s">
        <v>678</v>
      </c>
      <c r="G341" s="49" t="s">
        <v>635</v>
      </c>
      <c r="H341" s="50"/>
    </row>
    <row r="342" spans="1:8" ht="15" customHeight="1" x14ac:dyDescent="0.3">
      <c r="A342" s="51">
        <v>45997</v>
      </c>
      <c r="B342" s="52" t="s">
        <v>637</v>
      </c>
      <c r="C342" s="52" t="s">
        <v>677</v>
      </c>
      <c r="D342" s="52">
        <v>12</v>
      </c>
      <c r="E342" s="52" t="s">
        <v>671</v>
      </c>
      <c r="F342" s="52" t="s">
        <v>678</v>
      </c>
      <c r="G342" s="52" t="s">
        <v>632</v>
      </c>
      <c r="H342" s="53" t="s">
        <v>638</v>
      </c>
    </row>
    <row r="343" spans="1:8" ht="15" customHeight="1" x14ac:dyDescent="0.3">
      <c r="A343" s="51">
        <v>45998</v>
      </c>
      <c r="B343" s="52" t="s">
        <v>639</v>
      </c>
      <c r="C343" s="52" t="s">
        <v>677</v>
      </c>
      <c r="D343" s="52">
        <v>12</v>
      </c>
      <c r="E343" s="52" t="s">
        <v>671</v>
      </c>
      <c r="F343" s="52" t="s">
        <v>678</v>
      </c>
      <c r="G343" s="52" t="s">
        <v>632</v>
      </c>
      <c r="H343" s="53" t="s">
        <v>638</v>
      </c>
    </row>
    <row r="344" spans="1:8" ht="15" customHeight="1" x14ac:dyDescent="0.3">
      <c r="A344" s="48">
        <v>45999</v>
      </c>
      <c r="B344" s="49" t="s">
        <v>640</v>
      </c>
      <c r="C344" s="49" t="s">
        <v>677</v>
      </c>
      <c r="D344" s="49">
        <v>12</v>
      </c>
      <c r="E344" s="49" t="s">
        <v>671</v>
      </c>
      <c r="F344" s="49" t="s">
        <v>678</v>
      </c>
      <c r="G344" s="49" t="s">
        <v>635</v>
      </c>
      <c r="H344" s="50"/>
    </row>
    <row r="345" spans="1:8" ht="15" customHeight="1" x14ac:dyDescent="0.3">
      <c r="A345" s="48">
        <v>46000</v>
      </c>
      <c r="B345" s="49" t="s">
        <v>641</v>
      </c>
      <c r="C345" s="49" t="s">
        <v>677</v>
      </c>
      <c r="D345" s="49">
        <v>12</v>
      </c>
      <c r="E345" s="49" t="s">
        <v>671</v>
      </c>
      <c r="F345" s="49" t="s">
        <v>678</v>
      </c>
      <c r="G345" s="49" t="s">
        <v>635</v>
      </c>
      <c r="H345" s="50"/>
    </row>
    <row r="346" spans="1:8" ht="15" customHeight="1" x14ac:dyDescent="0.3">
      <c r="A346" s="48">
        <v>46001</v>
      </c>
      <c r="B346" s="49" t="s">
        <v>628</v>
      </c>
      <c r="C346" s="49" t="s">
        <v>677</v>
      </c>
      <c r="D346" s="49">
        <v>12</v>
      </c>
      <c r="E346" s="49" t="s">
        <v>671</v>
      </c>
      <c r="F346" s="49" t="s">
        <v>678</v>
      </c>
      <c r="G346" s="49" t="s">
        <v>635</v>
      </c>
      <c r="H346" s="50"/>
    </row>
    <row r="347" spans="1:8" ht="15" customHeight="1" x14ac:dyDescent="0.3">
      <c r="A347" s="48">
        <v>46002</v>
      </c>
      <c r="B347" s="49" t="s">
        <v>634</v>
      </c>
      <c r="C347" s="49" t="s">
        <v>677</v>
      </c>
      <c r="D347" s="49">
        <v>12</v>
      </c>
      <c r="E347" s="49" t="s">
        <v>671</v>
      </c>
      <c r="F347" s="49" t="s">
        <v>678</v>
      </c>
      <c r="G347" s="49" t="s">
        <v>635</v>
      </c>
      <c r="H347" s="50"/>
    </row>
    <row r="348" spans="1:8" ht="15" customHeight="1" x14ac:dyDescent="0.3">
      <c r="A348" s="48">
        <v>46003</v>
      </c>
      <c r="B348" s="49" t="s">
        <v>636</v>
      </c>
      <c r="C348" s="49" t="s">
        <v>677</v>
      </c>
      <c r="D348" s="49">
        <v>12</v>
      </c>
      <c r="E348" s="49" t="s">
        <v>671</v>
      </c>
      <c r="F348" s="49" t="s">
        <v>678</v>
      </c>
      <c r="G348" s="49" t="s">
        <v>635</v>
      </c>
      <c r="H348" s="50"/>
    </row>
    <row r="349" spans="1:8" ht="15" customHeight="1" x14ac:dyDescent="0.3">
      <c r="A349" s="51">
        <v>46004</v>
      </c>
      <c r="B349" s="52" t="s">
        <v>637</v>
      </c>
      <c r="C349" s="52" t="s">
        <v>677</v>
      </c>
      <c r="D349" s="52">
        <v>12</v>
      </c>
      <c r="E349" s="52" t="s">
        <v>671</v>
      </c>
      <c r="F349" s="52" t="s">
        <v>678</v>
      </c>
      <c r="G349" s="52" t="s">
        <v>632</v>
      </c>
      <c r="H349" s="53" t="s">
        <v>638</v>
      </c>
    </row>
    <row r="350" spans="1:8" ht="15" customHeight="1" x14ac:dyDescent="0.3">
      <c r="A350" s="51">
        <v>46005</v>
      </c>
      <c r="B350" s="52" t="s">
        <v>639</v>
      </c>
      <c r="C350" s="52" t="s">
        <v>677</v>
      </c>
      <c r="D350" s="52">
        <v>12</v>
      </c>
      <c r="E350" s="52" t="s">
        <v>671</v>
      </c>
      <c r="F350" s="52" t="s">
        <v>678</v>
      </c>
      <c r="G350" s="52" t="s">
        <v>632</v>
      </c>
      <c r="H350" s="53" t="s">
        <v>638</v>
      </c>
    </row>
    <row r="351" spans="1:8" ht="15" customHeight="1" x14ac:dyDescent="0.3">
      <c r="A351" s="48">
        <v>46006</v>
      </c>
      <c r="B351" s="49" t="s">
        <v>640</v>
      </c>
      <c r="C351" s="49" t="s">
        <v>677</v>
      </c>
      <c r="D351" s="49">
        <v>12</v>
      </c>
      <c r="E351" s="49" t="s">
        <v>671</v>
      </c>
      <c r="F351" s="49" t="s">
        <v>678</v>
      </c>
      <c r="G351" s="49" t="s">
        <v>635</v>
      </c>
      <c r="H351" s="50"/>
    </row>
    <row r="352" spans="1:8" ht="15" customHeight="1" x14ac:dyDescent="0.3">
      <c r="A352" s="48">
        <v>46007</v>
      </c>
      <c r="B352" s="49" t="s">
        <v>641</v>
      </c>
      <c r="C352" s="49" t="s">
        <v>677</v>
      </c>
      <c r="D352" s="49">
        <v>12</v>
      </c>
      <c r="E352" s="49" t="s">
        <v>671</v>
      </c>
      <c r="F352" s="49" t="s">
        <v>678</v>
      </c>
      <c r="G352" s="49" t="s">
        <v>635</v>
      </c>
      <c r="H352" s="50"/>
    </row>
    <row r="353" spans="1:8" ht="15" customHeight="1" x14ac:dyDescent="0.3">
      <c r="A353" s="48">
        <v>46008</v>
      </c>
      <c r="B353" s="49" t="s">
        <v>628</v>
      </c>
      <c r="C353" s="49" t="s">
        <v>677</v>
      </c>
      <c r="D353" s="49">
        <v>12</v>
      </c>
      <c r="E353" s="49" t="s">
        <v>671</v>
      </c>
      <c r="F353" s="49" t="s">
        <v>678</v>
      </c>
      <c r="G353" s="49" t="s">
        <v>635</v>
      </c>
      <c r="H353" s="50"/>
    </row>
    <row r="354" spans="1:8" ht="15" customHeight="1" x14ac:dyDescent="0.3">
      <c r="A354" s="48">
        <v>46009</v>
      </c>
      <c r="B354" s="49" t="s">
        <v>634</v>
      </c>
      <c r="C354" s="49" t="s">
        <v>677</v>
      </c>
      <c r="D354" s="49">
        <v>12</v>
      </c>
      <c r="E354" s="49" t="s">
        <v>671</v>
      </c>
      <c r="F354" s="49" t="s">
        <v>678</v>
      </c>
      <c r="G354" s="49" t="s">
        <v>635</v>
      </c>
      <c r="H354" s="50"/>
    </row>
    <row r="355" spans="1:8" ht="15" customHeight="1" x14ac:dyDescent="0.3">
      <c r="A355" s="48">
        <v>46010</v>
      </c>
      <c r="B355" s="49" t="s">
        <v>636</v>
      </c>
      <c r="C355" s="49" t="s">
        <v>677</v>
      </c>
      <c r="D355" s="49">
        <v>12</v>
      </c>
      <c r="E355" s="49" t="s">
        <v>671</v>
      </c>
      <c r="F355" s="49" t="s">
        <v>678</v>
      </c>
      <c r="G355" s="49" t="s">
        <v>635</v>
      </c>
      <c r="H355" s="50"/>
    </row>
    <row r="356" spans="1:8" ht="15" customHeight="1" x14ac:dyDescent="0.3">
      <c r="A356" s="51">
        <v>46011</v>
      </c>
      <c r="B356" s="52" t="s">
        <v>637</v>
      </c>
      <c r="C356" s="52" t="s">
        <v>677</v>
      </c>
      <c r="D356" s="52">
        <v>12</v>
      </c>
      <c r="E356" s="52" t="s">
        <v>671</v>
      </c>
      <c r="F356" s="52" t="s">
        <v>678</v>
      </c>
      <c r="G356" s="52" t="s">
        <v>632</v>
      </c>
      <c r="H356" s="53" t="s">
        <v>638</v>
      </c>
    </row>
    <row r="357" spans="1:8" ht="15" customHeight="1" x14ac:dyDescent="0.3">
      <c r="A357" s="51">
        <v>46012</v>
      </c>
      <c r="B357" s="52" t="s">
        <v>639</v>
      </c>
      <c r="C357" s="52" t="s">
        <v>677</v>
      </c>
      <c r="D357" s="52">
        <v>12</v>
      </c>
      <c r="E357" s="52" t="s">
        <v>671</v>
      </c>
      <c r="F357" s="52" t="s">
        <v>678</v>
      </c>
      <c r="G357" s="52" t="s">
        <v>632</v>
      </c>
      <c r="H357" s="53" t="s">
        <v>638</v>
      </c>
    </row>
    <row r="358" spans="1:8" ht="15" customHeight="1" x14ac:dyDescent="0.3">
      <c r="A358" s="48">
        <v>46013</v>
      </c>
      <c r="B358" s="49" t="s">
        <v>640</v>
      </c>
      <c r="C358" s="49" t="s">
        <v>677</v>
      </c>
      <c r="D358" s="49">
        <v>12</v>
      </c>
      <c r="E358" s="49" t="s">
        <v>671</v>
      </c>
      <c r="F358" s="49" t="s">
        <v>678</v>
      </c>
      <c r="G358" s="49" t="s">
        <v>635</v>
      </c>
      <c r="H358" s="50"/>
    </row>
    <row r="359" spans="1:8" ht="15" customHeight="1" x14ac:dyDescent="0.3">
      <c r="A359" s="48">
        <v>46014</v>
      </c>
      <c r="B359" s="49" t="s">
        <v>641</v>
      </c>
      <c r="C359" s="49" t="s">
        <v>677</v>
      </c>
      <c r="D359" s="49">
        <v>12</v>
      </c>
      <c r="E359" s="49" t="s">
        <v>671</v>
      </c>
      <c r="F359" s="49" t="s">
        <v>678</v>
      </c>
      <c r="G359" s="49" t="s">
        <v>635</v>
      </c>
      <c r="H359" s="50"/>
    </row>
    <row r="360" spans="1:8" ht="15" customHeight="1" x14ac:dyDescent="0.3">
      <c r="A360" s="48">
        <v>46015</v>
      </c>
      <c r="B360" s="49" t="s">
        <v>628</v>
      </c>
      <c r="C360" s="49" t="s">
        <v>677</v>
      </c>
      <c r="D360" s="49">
        <v>12</v>
      </c>
      <c r="E360" s="49" t="s">
        <v>671</v>
      </c>
      <c r="F360" s="49" t="s">
        <v>678</v>
      </c>
      <c r="G360" s="49" t="s">
        <v>635</v>
      </c>
      <c r="H360" s="50"/>
    </row>
    <row r="361" spans="1:8" ht="15" customHeight="1" x14ac:dyDescent="0.3">
      <c r="A361" s="45">
        <v>46016</v>
      </c>
      <c r="B361" s="46" t="s">
        <v>634</v>
      </c>
      <c r="C361" s="46" t="s">
        <v>677</v>
      </c>
      <c r="D361" s="46">
        <v>12</v>
      </c>
      <c r="E361" s="46" t="s">
        <v>671</v>
      </c>
      <c r="F361" s="46" t="s">
        <v>678</v>
      </c>
      <c r="G361" s="46" t="s">
        <v>632</v>
      </c>
      <c r="H361" s="47" t="s">
        <v>679</v>
      </c>
    </row>
    <row r="362" spans="1:8" ht="15" customHeight="1" x14ac:dyDescent="0.3">
      <c r="A362" s="48">
        <v>46017</v>
      </c>
      <c r="B362" s="49" t="s">
        <v>636</v>
      </c>
      <c r="C362" s="49" t="s">
        <v>677</v>
      </c>
      <c r="D362" s="49">
        <v>12</v>
      </c>
      <c r="E362" s="49" t="s">
        <v>671</v>
      </c>
      <c r="F362" s="49" t="s">
        <v>678</v>
      </c>
      <c r="G362" s="49" t="s">
        <v>635</v>
      </c>
      <c r="H362" s="50"/>
    </row>
    <row r="363" spans="1:8" ht="15" customHeight="1" x14ac:dyDescent="0.3">
      <c r="A363" s="51">
        <v>46018</v>
      </c>
      <c r="B363" s="52" t="s">
        <v>637</v>
      </c>
      <c r="C363" s="52" t="s">
        <v>677</v>
      </c>
      <c r="D363" s="52">
        <v>12</v>
      </c>
      <c r="E363" s="52" t="s">
        <v>671</v>
      </c>
      <c r="F363" s="52" t="s">
        <v>678</v>
      </c>
      <c r="G363" s="52" t="s">
        <v>632</v>
      </c>
      <c r="H363" s="53" t="s">
        <v>638</v>
      </c>
    </row>
    <row r="364" spans="1:8" ht="15" customHeight="1" x14ac:dyDescent="0.3">
      <c r="A364" s="51">
        <v>46019</v>
      </c>
      <c r="B364" s="52" t="s">
        <v>639</v>
      </c>
      <c r="C364" s="52" t="s">
        <v>677</v>
      </c>
      <c r="D364" s="52">
        <v>12</v>
      </c>
      <c r="E364" s="52" t="s">
        <v>671</v>
      </c>
      <c r="F364" s="52" t="s">
        <v>678</v>
      </c>
      <c r="G364" s="52" t="s">
        <v>632</v>
      </c>
      <c r="H364" s="53" t="s">
        <v>638</v>
      </c>
    </row>
    <row r="365" spans="1:8" ht="15" customHeight="1" x14ac:dyDescent="0.3">
      <c r="A365" s="48">
        <v>46020</v>
      </c>
      <c r="B365" s="49" t="s">
        <v>640</v>
      </c>
      <c r="C365" s="49" t="s">
        <v>677</v>
      </c>
      <c r="D365" s="49">
        <v>12</v>
      </c>
      <c r="E365" s="49" t="s">
        <v>671</v>
      </c>
      <c r="F365" s="49" t="s">
        <v>678</v>
      </c>
      <c r="G365" s="49" t="s">
        <v>635</v>
      </c>
      <c r="H365" s="50"/>
    </row>
    <row r="366" spans="1:8" ht="15" customHeight="1" x14ac:dyDescent="0.3">
      <c r="A366" s="48">
        <v>46021</v>
      </c>
      <c r="B366" s="49" t="s">
        <v>641</v>
      </c>
      <c r="C366" s="49" t="s">
        <v>677</v>
      </c>
      <c r="D366" s="49">
        <v>12</v>
      </c>
      <c r="E366" s="49" t="s">
        <v>671</v>
      </c>
      <c r="F366" s="49" t="s">
        <v>678</v>
      </c>
      <c r="G366" s="49" t="s">
        <v>635</v>
      </c>
      <c r="H366" s="50"/>
    </row>
    <row r="367" spans="1:8" ht="15" customHeight="1" x14ac:dyDescent="0.3">
      <c r="A367" s="48">
        <v>46022</v>
      </c>
      <c r="B367" s="49" t="s">
        <v>628</v>
      </c>
      <c r="C367" s="49" t="s">
        <v>677</v>
      </c>
      <c r="D367" s="49">
        <v>12</v>
      </c>
      <c r="E367" s="49" t="s">
        <v>671</v>
      </c>
      <c r="F367" s="49" t="s">
        <v>678</v>
      </c>
      <c r="G367" s="49" t="s">
        <v>635</v>
      </c>
      <c r="H367" s="50"/>
    </row>
    <row r="368" spans="1:8" ht="15" customHeight="1" x14ac:dyDescent="0.3">
      <c r="A368" s="45">
        <v>46023</v>
      </c>
      <c r="B368" s="46" t="s">
        <v>634</v>
      </c>
      <c r="C368" s="46" t="s">
        <v>629</v>
      </c>
      <c r="D368" s="46">
        <v>1</v>
      </c>
      <c r="E368" s="46" t="s">
        <v>630</v>
      </c>
      <c r="F368" s="46" t="s">
        <v>631</v>
      </c>
      <c r="G368" s="46" t="s">
        <v>632</v>
      </c>
      <c r="H368" s="47" t="s">
        <v>633</v>
      </c>
    </row>
    <row r="369" spans="1:8" ht="15" customHeight="1" x14ac:dyDescent="0.3">
      <c r="A369" s="48">
        <v>46024</v>
      </c>
      <c r="B369" s="49" t="s">
        <v>636</v>
      </c>
      <c r="C369" s="49" t="s">
        <v>629</v>
      </c>
      <c r="D369" s="49">
        <v>1</v>
      </c>
      <c r="E369" s="49" t="s">
        <v>630</v>
      </c>
      <c r="F369" s="49" t="s">
        <v>631</v>
      </c>
      <c r="G369" s="49" t="s">
        <v>635</v>
      </c>
      <c r="H369" s="50"/>
    </row>
    <row r="370" spans="1:8" ht="15" customHeight="1" x14ac:dyDescent="0.3">
      <c r="A370" s="51">
        <v>46025</v>
      </c>
      <c r="B370" s="52" t="s">
        <v>637</v>
      </c>
      <c r="C370" s="52" t="s">
        <v>629</v>
      </c>
      <c r="D370" s="52">
        <v>1</v>
      </c>
      <c r="E370" s="52" t="s">
        <v>630</v>
      </c>
      <c r="F370" s="52" t="s">
        <v>631</v>
      </c>
      <c r="G370" s="52" t="s">
        <v>632</v>
      </c>
      <c r="H370" s="53" t="s">
        <v>638</v>
      </c>
    </row>
    <row r="371" spans="1:8" ht="15" customHeight="1" x14ac:dyDescent="0.3">
      <c r="A371" s="51">
        <v>46026</v>
      </c>
      <c r="B371" s="52" t="s">
        <v>639</v>
      </c>
      <c r="C371" s="52" t="s">
        <v>629</v>
      </c>
      <c r="D371" s="52">
        <v>1</v>
      </c>
      <c r="E371" s="52" t="s">
        <v>630</v>
      </c>
      <c r="F371" s="52" t="s">
        <v>631</v>
      </c>
      <c r="G371" s="52" t="s">
        <v>632</v>
      </c>
      <c r="H371" s="53" t="s">
        <v>638</v>
      </c>
    </row>
    <row r="372" spans="1:8" ht="15" customHeight="1" x14ac:dyDescent="0.3">
      <c r="A372" s="48">
        <v>46027</v>
      </c>
      <c r="B372" s="49" t="s">
        <v>640</v>
      </c>
      <c r="C372" s="49" t="s">
        <v>629</v>
      </c>
      <c r="D372" s="49">
        <v>1</v>
      </c>
      <c r="E372" s="49" t="s">
        <v>630</v>
      </c>
      <c r="F372" s="49" t="s">
        <v>631</v>
      </c>
      <c r="G372" s="49" t="s">
        <v>635</v>
      </c>
      <c r="H372" s="50"/>
    </row>
    <row r="373" spans="1:8" ht="15" customHeight="1" x14ac:dyDescent="0.3">
      <c r="A373" s="48">
        <v>46028</v>
      </c>
      <c r="B373" s="49" t="s">
        <v>641</v>
      </c>
      <c r="C373" s="49" t="s">
        <v>629</v>
      </c>
      <c r="D373" s="49">
        <v>1</v>
      </c>
      <c r="E373" s="49" t="s">
        <v>630</v>
      </c>
      <c r="F373" s="49" t="s">
        <v>631</v>
      </c>
      <c r="G373" s="49" t="s">
        <v>635</v>
      </c>
      <c r="H373" s="50"/>
    </row>
    <row r="374" spans="1:8" ht="15" customHeight="1" x14ac:dyDescent="0.3">
      <c r="A374" s="48">
        <v>46029</v>
      </c>
      <c r="B374" s="49" t="s">
        <v>628</v>
      </c>
      <c r="C374" s="49" t="s">
        <v>629</v>
      </c>
      <c r="D374" s="49">
        <v>1</v>
      </c>
      <c r="E374" s="49" t="s">
        <v>630</v>
      </c>
      <c r="F374" s="49" t="s">
        <v>631</v>
      </c>
      <c r="G374" s="49" t="s">
        <v>635</v>
      </c>
      <c r="H374" s="50"/>
    </row>
    <row r="375" spans="1:8" ht="15" customHeight="1" x14ac:dyDescent="0.3">
      <c r="A375" s="48">
        <v>46030</v>
      </c>
      <c r="B375" s="49" t="s">
        <v>634</v>
      </c>
      <c r="C375" s="49" t="s">
        <v>629</v>
      </c>
      <c r="D375" s="49">
        <v>1</v>
      </c>
      <c r="E375" s="49" t="s">
        <v>630</v>
      </c>
      <c r="F375" s="49" t="s">
        <v>631</v>
      </c>
      <c r="G375" s="49" t="s">
        <v>635</v>
      </c>
      <c r="H375" s="50"/>
    </row>
    <row r="376" spans="1:8" ht="15" customHeight="1" x14ac:dyDescent="0.3">
      <c r="A376" s="48">
        <v>46031</v>
      </c>
      <c r="B376" s="49" t="s">
        <v>636</v>
      </c>
      <c r="C376" s="49" t="s">
        <v>629</v>
      </c>
      <c r="D376" s="49">
        <v>1</v>
      </c>
      <c r="E376" s="49" t="s">
        <v>630</v>
      </c>
      <c r="F376" s="49" t="s">
        <v>631</v>
      </c>
      <c r="G376" s="49" t="s">
        <v>635</v>
      </c>
      <c r="H376" s="50"/>
    </row>
    <row r="377" spans="1:8" ht="15" customHeight="1" x14ac:dyDescent="0.3">
      <c r="A377" s="51">
        <v>46032</v>
      </c>
      <c r="B377" s="52" t="s">
        <v>637</v>
      </c>
      <c r="C377" s="52" t="s">
        <v>629</v>
      </c>
      <c r="D377" s="52">
        <v>1</v>
      </c>
      <c r="E377" s="52" t="s">
        <v>630</v>
      </c>
      <c r="F377" s="52" t="s">
        <v>631</v>
      </c>
      <c r="G377" s="52" t="s">
        <v>632</v>
      </c>
      <c r="H377" s="53" t="s">
        <v>638</v>
      </c>
    </row>
    <row r="378" spans="1:8" ht="15" customHeight="1" x14ac:dyDescent="0.3">
      <c r="A378" s="51">
        <v>46033</v>
      </c>
      <c r="B378" s="52" t="s">
        <v>639</v>
      </c>
      <c r="C378" s="52" t="s">
        <v>629</v>
      </c>
      <c r="D378" s="52">
        <v>1</v>
      </c>
      <c r="E378" s="52" t="s">
        <v>630</v>
      </c>
      <c r="F378" s="52" t="s">
        <v>631</v>
      </c>
      <c r="G378" s="52" t="s">
        <v>632</v>
      </c>
      <c r="H378" s="53" t="s">
        <v>638</v>
      </c>
    </row>
    <row r="379" spans="1:8" ht="15" customHeight="1" x14ac:dyDescent="0.3">
      <c r="A379" s="48">
        <v>46034</v>
      </c>
      <c r="B379" s="49" t="s">
        <v>640</v>
      </c>
      <c r="C379" s="49" t="s">
        <v>629</v>
      </c>
      <c r="D379" s="49">
        <v>1</v>
      </c>
      <c r="E379" s="49" t="s">
        <v>630</v>
      </c>
      <c r="F379" s="49" t="s">
        <v>631</v>
      </c>
      <c r="G379" s="49" t="s">
        <v>635</v>
      </c>
      <c r="H379" s="50"/>
    </row>
    <row r="380" spans="1:8" ht="15" customHeight="1" x14ac:dyDescent="0.3">
      <c r="A380" s="48">
        <v>46035</v>
      </c>
      <c r="B380" s="49" t="s">
        <v>641</v>
      </c>
      <c r="C380" s="49" t="s">
        <v>629</v>
      </c>
      <c r="D380" s="49">
        <v>1</v>
      </c>
      <c r="E380" s="49" t="s">
        <v>630</v>
      </c>
      <c r="F380" s="49" t="s">
        <v>631</v>
      </c>
      <c r="G380" s="49" t="s">
        <v>635</v>
      </c>
      <c r="H380" s="50"/>
    </row>
    <row r="381" spans="1:8" ht="15" customHeight="1" x14ac:dyDescent="0.3">
      <c r="A381" s="48">
        <v>46036</v>
      </c>
      <c r="B381" s="49" t="s">
        <v>628</v>
      </c>
      <c r="C381" s="49" t="s">
        <v>629</v>
      </c>
      <c r="D381" s="49">
        <v>1</v>
      </c>
      <c r="E381" s="49" t="s">
        <v>630</v>
      </c>
      <c r="F381" s="49" t="s">
        <v>631</v>
      </c>
      <c r="G381" s="49" t="s">
        <v>635</v>
      </c>
      <c r="H381" s="50"/>
    </row>
    <row r="382" spans="1:8" ht="15" customHeight="1" x14ac:dyDescent="0.3">
      <c r="A382" s="48">
        <v>46037</v>
      </c>
      <c r="B382" s="49" t="s">
        <v>634</v>
      </c>
      <c r="C382" s="49" t="s">
        <v>629</v>
      </c>
      <c r="D382" s="49">
        <v>1</v>
      </c>
      <c r="E382" s="49" t="s">
        <v>630</v>
      </c>
      <c r="F382" s="49" t="s">
        <v>631</v>
      </c>
      <c r="G382" s="49" t="s">
        <v>635</v>
      </c>
      <c r="H382" s="50"/>
    </row>
    <row r="383" spans="1:8" ht="15" customHeight="1" x14ac:dyDescent="0.3">
      <c r="A383" s="48">
        <v>46038</v>
      </c>
      <c r="B383" s="49" t="s">
        <v>636</v>
      </c>
      <c r="C383" s="49" t="s">
        <v>629</v>
      </c>
      <c r="D383" s="49">
        <v>1</v>
      </c>
      <c r="E383" s="49" t="s">
        <v>630</v>
      </c>
      <c r="F383" s="49" t="s">
        <v>631</v>
      </c>
      <c r="G383" s="49" t="s">
        <v>635</v>
      </c>
      <c r="H383" s="50"/>
    </row>
    <row r="384" spans="1:8" ht="15" customHeight="1" x14ac:dyDescent="0.3">
      <c r="A384" s="51">
        <v>46039</v>
      </c>
      <c r="B384" s="52" t="s">
        <v>637</v>
      </c>
      <c r="C384" s="52" t="s">
        <v>629</v>
      </c>
      <c r="D384" s="52">
        <v>1</v>
      </c>
      <c r="E384" s="52" t="s">
        <v>630</v>
      </c>
      <c r="F384" s="52" t="s">
        <v>631</v>
      </c>
      <c r="G384" s="52" t="s">
        <v>632</v>
      </c>
      <c r="H384" s="53" t="s">
        <v>638</v>
      </c>
    </row>
    <row r="385" spans="1:8" ht="15" customHeight="1" x14ac:dyDescent="0.3">
      <c r="A385" s="51">
        <v>46040</v>
      </c>
      <c r="B385" s="52" t="s">
        <v>639</v>
      </c>
      <c r="C385" s="52" t="s">
        <v>629</v>
      </c>
      <c r="D385" s="52">
        <v>1</v>
      </c>
      <c r="E385" s="52" t="s">
        <v>630</v>
      </c>
      <c r="F385" s="52" t="s">
        <v>631</v>
      </c>
      <c r="G385" s="52" t="s">
        <v>632</v>
      </c>
      <c r="H385" s="53" t="s">
        <v>638</v>
      </c>
    </row>
    <row r="386" spans="1:8" ht="15" customHeight="1" x14ac:dyDescent="0.3">
      <c r="A386" s="48">
        <v>46041</v>
      </c>
      <c r="B386" s="49" t="s">
        <v>640</v>
      </c>
      <c r="C386" s="49" t="s">
        <v>629</v>
      </c>
      <c r="D386" s="49">
        <v>1</v>
      </c>
      <c r="E386" s="49" t="s">
        <v>630</v>
      </c>
      <c r="F386" s="49" t="s">
        <v>631</v>
      </c>
      <c r="G386" s="49" t="s">
        <v>635</v>
      </c>
      <c r="H386" s="50"/>
    </row>
    <row r="387" spans="1:8" ht="15" customHeight="1" x14ac:dyDescent="0.3">
      <c r="A387" s="48">
        <v>46042</v>
      </c>
      <c r="B387" s="49" t="s">
        <v>641</v>
      </c>
      <c r="C387" s="49" t="s">
        <v>629</v>
      </c>
      <c r="D387" s="49">
        <v>1</v>
      </c>
      <c r="E387" s="49" t="s">
        <v>630</v>
      </c>
      <c r="F387" s="49" t="s">
        <v>631</v>
      </c>
      <c r="G387" s="49" t="s">
        <v>635</v>
      </c>
      <c r="H387" s="50"/>
    </row>
    <row r="388" spans="1:8" ht="15" customHeight="1" x14ac:dyDescent="0.3">
      <c r="A388" s="48">
        <v>46043</v>
      </c>
      <c r="B388" s="49" t="s">
        <v>628</v>
      </c>
      <c r="C388" s="49" t="s">
        <v>629</v>
      </c>
      <c r="D388" s="49">
        <v>1</v>
      </c>
      <c r="E388" s="49" t="s">
        <v>630</v>
      </c>
      <c r="F388" s="49" t="s">
        <v>631</v>
      </c>
      <c r="G388" s="49" t="s">
        <v>635</v>
      </c>
      <c r="H388" s="50"/>
    </row>
    <row r="389" spans="1:8" ht="15" customHeight="1" x14ac:dyDescent="0.3">
      <c r="A389" s="48">
        <v>46044</v>
      </c>
      <c r="B389" s="49" t="s">
        <v>634</v>
      </c>
      <c r="C389" s="49" t="s">
        <v>629</v>
      </c>
      <c r="D389" s="49">
        <v>1</v>
      </c>
      <c r="E389" s="49" t="s">
        <v>630</v>
      </c>
      <c r="F389" s="49" t="s">
        <v>631</v>
      </c>
      <c r="G389" s="49" t="s">
        <v>635</v>
      </c>
      <c r="H389" s="50"/>
    </row>
    <row r="390" spans="1:8" ht="15" customHeight="1" x14ac:dyDescent="0.3">
      <c r="A390" s="48">
        <v>46045</v>
      </c>
      <c r="B390" s="49" t="s">
        <v>636</v>
      </c>
      <c r="C390" s="49" t="s">
        <v>629</v>
      </c>
      <c r="D390" s="49">
        <v>1</v>
      </c>
      <c r="E390" s="49" t="s">
        <v>630</v>
      </c>
      <c r="F390" s="49" t="s">
        <v>631</v>
      </c>
      <c r="G390" s="49" t="s">
        <v>635</v>
      </c>
      <c r="H390" s="50"/>
    </row>
    <row r="391" spans="1:8" ht="15" customHeight="1" x14ac:dyDescent="0.3">
      <c r="A391" s="51">
        <v>46046</v>
      </c>
      <c r="B391" s="52" t="s">
        <v>637</v>
      </c>
      <c r="C391" s="52" t="s">
        <v>629</v>
      </c>
      <c r="D391" s="52">
        <v>1</v>
      </c>
      <c r="E391" s="52" t="s">
        <v>630</v>
      </c>
      <c r="F391" s="52" t="s">
        <v>631</v>
      </c>
      <c r="G391" s="52" t="s">
        <v>632</v>
      </c>
      <c r="H391" s="53" t="s">
        <v>638</v>
      </c>
    </row>
    <row r="392" spans="1:8" ht="15" customHeight="1" x14ac:dyDescent="0.3">
      <c r="A392" s="51">
        <v>46047</v>
      </c>
      <c r="B392" s="52" t="s">
        <v>639</v>
      </c>
      <c r="C392" s="52" t="s">
        <v>629</v>
      </c>
      <c r="D392" s="52">
        <v>1</v>
      </c>
      <c r="E392" s="52" t="s">
        <v>630</v>
      </c>
      <c r="F392" s="52" t="s">
        <v>631</v>
      </c>
      <c r="G392" s="52" t="s">
        <v>632</v>
      </c>
      <c r="H392" s="53" t="s">
        <v>638</v>
      </c>
    </row>
    <row r="393" spans="1:8" ht="15" customHeight="1" x14ac:dyDescent="0.3">
      <c r="A393" s="48">
        <v>46048</v>
      </c>
      <c r="B393" s="49" t="s">
        <v>640</v>
      </c>
      <c r="C393" s="49" t="s">
        <v>629</v>
      </c>
      <c r="D393" s="49">
        <v>1</v>
      </c>
      <c r="E393" s="49" t="s">
        <v>630</v>
      </c>
      <c r="F393" s="49" t="s">
        <v>631</v>
      </c>
      <c r="G393" s="49" t="s">
        <v>635</v>
      </c>
      <c r="H393" s="50"/>
    </row>
    <row r="394" spans="1:8" ht="15" customHeight="1" x14ac:dyDescent="0.3">
      <c r="A394" s="48">
        <v>46049</v>
      </c>
      <c r="B394" s="49" t="s">
        <v>641</v>
      </c>
      <c r="C394" s="49" t="s">
        <v>629</v>
      </c>
      <c r="D394" s="49">
        <v>1</v>
      </c>
      <c r="E394" s="49" t="s">
        <v>630</v>
      </c>
      <c r="F394" s="49" t="s">
        <v>631</v>
      </c>
      <c r="G394" s="49" t="s">
        <v>635</v>
      </c>
      <c r="H394" s="50"/>
    </row>
    <row r="395" spans="1:8" ht="15" customHeight="1" x14ac:dyDescent="0.3">
      <c r="A395" s="48">
        <v>46050</v>
      </c>
      <c r="B395" s="49" t="s">
        <v>628</v>
      </c>
      <c r="C395" s="49" t="s">
        <v>629</v>
      </c>
      <c r="D395" s="49">
        <v>1</v>
      </c>
      <c r="E395" s="49" t="s">
        <v>630</v>
      </c>
      <c r="F395" s="49" t="s">
        <v>631</v>
      </c>
      <c r="G395" s="49" t="s">
        <v>635</v>
      </c>
      <c r="H395" s="50"/>
    </row>
    <row r="396" spans="1:8" ht="15" customHeight="1" x14ac:dyDescent="0.3">
      <c r="A396" s="48">
        <v>46051</v>
      </c>
      <c r="B396" s="49" t="s">
        <v>634</v>
      </c>
      <c r="C396" s="49" t="s">
        <v>629</v>
      </c>
      <c r="D396" s="49">
        <v>1</v>
      </c>
      <c r="E396" s="49" t="s">
        <v>630</v>
      </c>
      <c r="F396" s="49" t="s">
        <v>631</v>
      </c>
      <c r="G396" s="49" t="s">
        <v>635</v>
      </c>
      <c r="H396" s="50"/>
    </row>
    <row r="397" spans="1:8" ht="15" customHeight="1" x14ac:dyDescent="0.3">
      <c r="A397" s="48">
        <v>46052</v>
      </c>
      <c r="B397" s="49" t="s">
        <v>636</v>
      </c>
      <c r="C397" s="49" t="s">
        <v>629</v>
      </c>
      <c r="D397" s="49">
        <v>1</v>
      </c>
      <c r="E397" s="49" t="s">
        <v>630</v>
      </c>
      <c r="F397" s="49" t="s">
        <v>631</v>
      </c>
      <c r="G397" s="49" t="s">
        <v>635</v>
      </c>
      <c r="H397" s="50"/>
    </row>
    <row r="398" spans="1:8" ht="15" customHeight="1" x14ac:dyDescent="0.3">
      <c r="A398" s="51">
        <v>46053</v>
      </c>
      <c r="B398" s="52" t="s">
        <v>637</v>
      </c>
      <c r="C398" s="52" t="s">
        <v>629</v>
      </c>
      <c r="D398" s="52">
        <v>1</v>
      </c>
      <c r="E398" s="52" t="s">
        <v>630</v>
      </c>
      <c r="F398" s="52" t="s">
        <v>631</v>
      </c>
      <c r="G398" s="52" t="s">
        <v>632</v>
      </c>
      <c r="H398" s="53" t="s">
        <v>638</v>
      </c>
    </row>
    <row r="399" spans="1:8" ht="15" customHeight="1" x14ac:dyDescent="0.3">
      <c r="A399" s="51">
        <v>46054</v>
      </c>
      <c r="B399" s="52" t="s">
        <v>639</v>
      </c>
      <c r="C399" s="52" t="s">
        <v>644</v>
      </c>
      <c r="D399" s="52">
        <v>2</v>
      </c>
      <c r="E399" s="52" t="s">
        <v>630</v>
      </c>
      <c r="F399" s="52" t="s">
        <v>645</v>
      </c>
      <c r="G399" s="52" t="s">
        <v>632</v>
      </c>
      <c r="H399" s="53" t="s">
        <v>638</v>
      </c>
    </row>
    <row r="400" spans="1:8" ht="15" customHeight="1" x14ac:dyDescent="0.3">
      <c r="A400" s="48">
        <v>46055</v>
      </c>
      <c r="B400" s="49" t="s">
        <v>640</v>
      </c>
      <c r="C400" s="49" t="s">
        <v>644</v>
      </c>
      <c r="D400" s="49">
        <v>2</v>
      </c>
      <c r="E400" s="49" t="s">
        <v>630</v>
      </c>
      <c r="F400" s="49" t="s">
        <v>645</v>
      </c>
      <c r="G400" s="49" t="s">
        <v>635</v>
      </c>
      <c r="H400" s="50"/>
    </row>
    <row r="401" spans="1:8" ht="15" customHeight="1" x14ac:dyDescent="0.3">
      <c r="A401" s="48">
        <v>46056</v>
      </c>
      <c r="B401" s="49" t="s">
        <v>641</v>
      </c>
      <c r="C401" s="49" t="s">
        <v>644</v>
      </c>
      <c r="D401" s="49">
        <v>2</v>
      </c>
      <c r="E401" s="49" t="s">
        <v>630</v>
      </c>
      <c r="F401" s="49" t="s">
        <v>645</v>
      </c>
      <c r="G401" s="49" t="s">
        <v>635</v>
      </c>
      <c r="H401" s="50"/>
    </row>
    <row r="402" spans="1:8" ht="15" customHeight="1" x14ac:dyDescent="0.3">
      <c r="A402" s="48">
        <v>46057</v>
      </c>
      <c r="B402" s="49" t="s">
        <v>628</v>
      </c>
      <c r="C402" s="49" t="s">
        <v>644</v>
      </c>
      <c r="D402" s="49">
        <v>2</v>
      </c>
      <c r="E402" s="49" t="s">
        <v>630</v>
      </c>
      <c r="F402" s="49" t="s">
        <v>645</v>
      </c>
      <c r="G402" s="49" t="s">
        <v>635</v>
      </c>
      <c r="H402" s="50"/>
    </row>
    <row r="403" spans="1:8" ht="15" customHeight="1" x14ac:dyDescent="0.3">
      <c r="A403" s="48">
        <v>46058</v>
      </c>
      <c r="B403" s="49" t="s">
        <v>634</v>
      </c>
      <c r="C403" s="49" t="s">
        <v>644</v>
      </c>
      <c r="D403" s="49">
        <v>2</v>
      </c>
      <c r="E403" s="49" t="s">
        <v>630</v>
      </c>
      <c r="F403" s="49" t="s">
        <v>645</v>
      </c>
      <c r="G403" s="49" t="s">
        <v>635</v>
      </c>
      <c r="H403" s="50"/>
    </row>
    <row r="404" spans="1:8" ht="15" customHeight="1" x14ac:dyDescent="0.3">
      <c r="A404" s="48">
        <v>46059</v>
      </c>
      <c r="B404" s="49" t="s">
        <v>636</v>
      </c>
      <c r="C404" s="49" t="s">
        <v>644</v>
      </c>
      <c r="D404" s="49">
        <v>2</v>
      </c>
      <c r="E404" s="49" t="s">
        <v>630</v>
      </c>
      <c r="F404" s="49" t="s">
        <v>645</v>
      </c>
      <c r="G404" s="49" t="s">
        <v>635</v>
      </c>
      <c r="H404" s="50"/>
    </row>
    <row r="405" spans="1:8" ht="15" customHeight="1" x14ac:dyDescent="0.3">
      <c r="A405" s="51">
        <v>46060</v>
      </c>
      <c r="B405" s="52" t="s">
        <v>637</v>
      </c>
      <c r="C405" s="52" t="s">
        <v>644</v>
      </c>
      <c r="D405" s="52">
        <v>2</v>
      </c>
      <c r="E405" s="52" t="s">
        <v>630</v>
      </c>
      <c r="F405" s="52" t="s">
        <v>645</v>
      </c>
      <c r="G405" s="52" t="s">
        <v>632</v>
      </c>
      <c r="H405" s="53" t="s">
        <v>638</v>
      </c>
    </row>
    <row r="406" spans="1:8" ht="15" customHeight="1" x14ac:dyDescent="0.3">
      <c r="A406" s="51">
        <v>46061</v>
      </c>
      <c r="B406" s="52" t="s">
        <v>639</v>
      </c>
      <c r="C406" s="52" t="s">
        <v>644</v>
      </c>
      <c r="D406" s="52">
        <v>2</v>
      </c>
      <c r="E406" s="52" t="s">
        <v>630</v>
      </c>
      <c r="F406" s="52" t="s">
        <v>645</v>
      </c>
      <c r="G406" s="52" t="s">
        <v>632</v>
      </c>
      <c r="H406" s="53" t="s">
        <v>638</v>
      </c>
    </row>
    <row r="407" spans="1:8" ht="15" customHeight="1" x14ac:dyDescent="0.3">
      <c r="A407" s="48">
        <v>46062</v>
      </c>
      <c r="B407" s="49" t="s">
        <v>640</v>
      </c>
      <c r="C407" s="49" t="s">
        <v>644</v>
      </c>
      <c r="D407" s="49">
        <v>2</v>
      </c>
      <c r="E407" s="49" t="s">
        <v>630</v>
      </c>
      <c r="F407" s="49" t="s">
        <v>645</v>
      </c>
      <c r="G407" s="49" t="s">
        <v>635</v>
      </c>
      <c r="H407" s="50"/>
    </row>
    <row r="408" spans="1:8" ht="15" customHeight="1" x14ac:dyDescent="0.3">
      <c r="A408" s="48">
        <v>46063</v>
      </c>
      <c r="B408" s="49" t="s">
        <v>641</v>
      </c>
      <c r="C408" s="49" t="s">
        <v>644</v>
      </c>
      <c r="D408" s="49">
        <v>2</v>
      </c>
      <c r="E408" s="49" t="s">
        <v>630</v>
      </c>
      <c r="F408" s="49" t="s">
        <v>645</v>
      </c>
      <c r="G408" s="49" t="s">
        <v>635</v>
      </c>
      <c r="H408" s="50"/>
    </row>
    <row r="409" spans="1:8" ht="15" customHeight="1" x14ac:dyDescent="0.3">
      <c r="A409" s="48">
        <v>46064</v>
      </c>
      <c r="B409" s="49" t="s">
        <v>628</v>
      </c>
      <c r="C409" s="49" t="s">
        <v>644</v>
      </c>
      <c r="D409" s="49">
        <v>2</v>
      </c>
      <c r="E409" s="49" t="s">
        <v>630</v>
      </c>
      <c r="F409" s="49" t="s">
        <v>645</v>
      </c>
      <c r="G409" s="49" t="s">
        <v>635</v>
      </c>
      <c r="H409" s="50"/>
    </row>
    <row r="410" spans="1:8" ht="15" customHeight="1" x14ac:dyDescent="0.3">
      <c r="A410" s="48">
        <v>46065</v>
      </c>
      <c r="B410" s="49" t="s">
        <v>634</v>
      </c>
      <c r="C410" s="49" t="s">
        <v>644</v>
      </c>
      <c r="D410" s="49">
        <v>2</v>
      </c>
      <c r="E410" s="49" t="s">
        <v>630</v>
      </c>
      <c r="F410" s="49" t="s">
        <v>645</v>
      </c>
      <c r="G410" s="49" t="s">
        <v>635</v>
      </c>
      <c r="H410" s="50"/>
    </row>
    <row r="411" spans="1:8" ht="15" customHeight="1" x14ac:dyDescent="0.3">
      <c r="A411" s="48">
        <v>46066</v>
      </c>
      <c r="B411" s="49" t="s">
        <v>636</v>
      </c>
      <c r="C411" s="49" t="s">
        <v>644</v>
      </c>
      <c r="D411" s="49">
        <v>2</v>
      </c>
      <c r="E411" s="49" t="s">
        <v>630</v>
      </c>
      <c r="F411" s="49" t="s">
        <v>645</v>
      </c>
      <c r="G411" s="49" t="s">
        <v>635</v>
      </c>
      <c r="H411" s="50"/>
    </row>
    <row r="412" spans="1:8" ht="15" customHeight="1" x14ac:dyDescent="0.3">
      <c r="A412" s="51">
        <v>46067</v>
      </c>
      <c r="B412" s="52" t="s">
        <v>637</v>
      </c>
      <c r="C412" s="52" t="s">
        <v>644</v>
      </c>
      <c r="D412" s="52">
        <v>2</v>
      </c>
      <c r="E412" s="52" t="s">
        <v>630</v>
      </c>
      <c r="F412" s="52" t="s">
        <v>645</v>
      </c>
      <c r="G412" s="52" t="s">
        <v>632</v>
      </c>
      <c r="H412" s="53" t="s">
        <v>638</v>
      </c>
    </row>
    <row r="413" spans="1:8" ht="15" customHeight="1" x14ac:dyDescent="0.3">
      <c r="A413" s="51">
        <v>46068</v>
      </c>
      <c r="B413" s="52" t="s">
        <v>639</v>
      </c>
      <c r="C413" s="52" t="s">
        <v>644</v>
      </c>
      <c r="D413" s="52">
        <v>2</v>
      </c>
      <c r="E413" s="52" t="s">
        <v>630</v>
      </c>
      <c r="F413" s="52" t="s">
        <v>645</v>
      </c>
      <c r="G413" s="52" t="s">
        <v>632</v>
      </c>
      <c r="H413" s="53" t="s">
        <v>638</v>
      </c>
    </row>
    <row r="414" spans="1:8" ht="15" customHeight="1" x14ac:dyDescent="0.3">
      <c r="A414" s="48">
        <v>46069</v>
      </c>
      <c r="B414" s="49" t="s">
        <v>640</v>
      </c>
      <c r="C414" s="49" t="s">
        <v>644</v>
      </c>
      <c r="D414" s="49">
        <v>2</v>
      </c>
      <c r="E414" s="49" t="s">
        <v>630</v>
      </c>
      <c r="F414" s="49" t="s">
        <v>645</v>
      </c>
      <c r="G414" s="49" t="s">
        <v>635</v>
      </c>
      <c r="H414" s="50"/>
    </row>
    <row r="415" spans="1:8" ht="15" customHeight="1" x14ac:dyDescent="0.3">
      <c r="A415" s="48">
        <v>46070</v>
      </c>
      <c r="B415" s="49" t="s">
        <v>641</v>
      </c>
      <c r="C415" s="49" t="s">
        <v>644</v>
      </c>
      <c r="D415" s="49">
        <v>2</v>
      </c>
      <c r="E415" s="49" t="s">
        <v>630</v>
      </c>
      <c r="F415" s="49" t="s">
        <v>645</v>
      </c>
      <c r="G415" s="49" t="s">
        <v>635</v>
      </c>
      <c r="H415" s="50"/>
    </row>
    <row r="416" spans="1:8" ht="15" customHeight="1" x14ac:dyDescent="0.3">
      <c r="A416" s="48">
        <v>46071</v>
      </c>
      <c r="B416" s="49" t="s">
        <v>628</v>
      </c>
      <c r="C416" s="49" t="s">
        <v>644</v>
      </c>
      <c r="D416" s="49">
        <v>2</v>
      </c>
      <c r="E416" s="49" t="s">
        <v>630</v>
      </c>
      <c r="F416" s="49" t="s">
        <v>645</v>
      </c>
      <c r="G416" s="49" t="s">
        <v>635</v>
      </c>
      <c r="H416" s="50"/>
    </row>
    <row r="417" spans="1:8" ht="15" customHeight="1" x14ac:dyDescent="0.3">
      <c r="A417" s="48">
        <v>46072</v>
      </c>
      <c r="B417" s="49" t="s">
        <v>634</v>
      </c>
      <c r="C417" s="49" t="s">
        <v>644</v>
      </c>
      <c r="D417" s="49">
        <v>2</v>
      </c>
      <c r="E417" s="49" t="s">
        <v>630</v>
      </c>
      <c r="F417" s="49" t="s">
        <v>645</v>
      </c>
      <c r="G417" s="49" t="s">
        <v>635</v>
      </c>
      <c r="H417" s="50"/>
    </row>
    <row r="418" spans="1:8" ht="15" customHeight="1" x14ac:dyDescent="0.3">
      <c r="A418" s="48">
        <v>46073</v>
      </c>
      <c r="B418" s="49" t="s">
        <v>636</v>
      </c>
      <c r="C418" s="49" t="s">
        <v>644</v>
      </c>
      <c r="D418" s="49">
        <v>2</v>
      </c>
      <c r="E418" s="49" t="s">
        <v>630</v>
      </c>
      <c r="F418" s="49" t="s">
        <v>645</v>
      </c>
      <c r="G418" s="49" t="s">
        <v>635</v>
      </c>
      <c r="H418" s="50"/>
    </row>
    <row r="419" spans="1:8" ht="15" customHeight="1" x14ac:dyDescent="0.3">
      <c r="A419" s="51">
        <v>46074</v>
      </c>
      <c r="B419" s="52" t="s">
        <v>637</v>
      </c>
      <c r="C419" s="52" t="s">
        <v>644</v>
      </c>
      <c r="D419" s="52">
        <v>2</v>
      </c>
      <c r="E419" s="52" t="s">
        <v>630</v>
      </c>
      <c r="F419" s="52" t="s">
        <v>645</v>
      </c>
      <c r="G419" s="52" t="s">
        <v>632</v>
      </c>
      <c r="H419" s="53" t="s">
        <v>638</v>
      </c>
    </row>
    <row r="420" spans="1:8" ht="15" customHeight="1" x14ac:dyDescent="0.3">
      <c r="A420" s="51">
        <v>46075</v>
      </c>
      <c r="B420" s="52" t="s">
        <v>639</v>
      </c>
      <c r="C420" s="52" t="s">
        <v>644</v>
      </c>
      <c r="D420" s="52">
        <v>2</v>
      </c>
      <c r="E420" s="52" t="s">
        <v>630</v>
      </c>
      <c r="F420" s="52" t="s">
        <v>645</v>
      </c>
      <c r="G420" s="52" t="s">
        <v>632</v>
      </c>
      <c r="H420" s="53" t="s">
        <v>638</v>
      </c>
    </row>
    <row r="421" spans="1:8" ht="15" customHeight="1" x14ac:dyDescent="0.3">
      <c r="A421" s="48">
        <v>46076</v>
      </c>
      <c r="B421" s="49" t="s">
        <v>640</v>
      </c>
      <c r="C421" s="49" t="s">
        <v>644</v>
      </c>
      <c r="D421" s="49">
        <v>2</v>
      </c>
      <c r="E421" s="49" t="s">
        <v>630</v>
      </c>
      <c r="F421" s="49" t="s">
        <v>645</v>
      </c>
      <c r="G421" s="49" t="s">
        <v>635</v>
      </c>
      <c r="H421" s="50"/>
    </row>
    <row r="422" spans="1:8" ht="15" customHeight="1" x14ac:dyDescent="0.3">
      <c r="A422" s="48">
        <v>46077</v>
      </c>
      <c r="B422" s="49" t="s">
        <v>641</v>
      </c>
      <c r="C422" s="49" t="s">
        <v>644</v>
      </c>
      <c r="D422" s="49">
        <v>2</v>
      </c>
      <c r="E422" s="49" t="s">
        <v>630</v>
      </c>
      <c r="F422" s="49" t="s">
        <v>645</v>
      </c>
      <c r="G422" s="49" t="s">
        <v>635</v>
      </c>
      <c r="H422" s="50"/>
    </row>
    <row r="423" spans="1:8" ht="15" customHeight="1" x14ac:dyDescent="0.3">
      <c r="A423" s="48">
        <v>46078</v>
      </c>
      <c r="B423" s="49" t="s">
        <v>628</v>
      </c>
      <c r="C423" s="49" t="s">
        <v>644</v>
      </c>
      <c r="D423" s="49">
        <v>2</v>
      </c>
      <c r="E423" s="49" t="s">
        <v>630</v>
      </c>
      <c r="F423" s="49" t="s">
        <v>645</v>
      </c>
      <c r="G423" s="49" t="s">
        <v>635</v>
      </c>
      <c r="H423" s="50"/>
    </row>
    <row r="424" spans="1:8" ht="15" customHeight="1" x14ac:dyDescent="0.3">
      <c r="A424" s="48">
        <v>46079</v>
      </c>
      <c r="B424" s="49" t="s">
        <v>634</v>
      </c>
      <c r="C424" s="49" t="s">
        <v>644</v>
      </c>
      <c r="D424" s="49">
        <v>2</v>
      </c>
      <c r="E424" s="49" t="s">
        <v>630</v>
      </c>
      <c r="F424" s="49" t="s">
        <v>645</v>
      </c>
      <c r="G424" s="49" t="s">
        <v>635</v>
      </c>
      <c r="H424" s="50"/>
    </row>
    <row r="425" spans="1:8" ht="15" customHeight="1" x14ac:dyDescent="0.3">
      <c r="A425" s="48">
        <v>46080</v>
      </c>
      <c r="B425" s="49" t="s">
        <v>636</v>
      </c>
      <c r="C425" s="49" t="s">
        <v>644</v>
      </c>
      <c r="D425" s="49">
        <v>2</v>
      </c>
      <c r="E425" s="49" t="s">
        <v>630</v>
      </c>
      <c r="F425" s="49" t="s">
        <v>645</v>
      </c>
      <c r="G425" s="49" t="s">
        <v>635</v>
      </c>
      <c r="H425" s="50"/>
    </row>
    <row r="426" spans="1:8" ht="15" customHeight="1" x14ac:dyDescent="0.3">
      <c r="A426" s="51">
        <v>46081</v>
      </c>
      <c r="B426" s="52" t="s">
        <v>637</v>
      </c>
      <c r="C426" s="52" t="s">
        <v>644</v>
      </c>
      <c r="D426" s="52">
        <v>2</v>
      </c>
      <c r="E426" s="52" t="s">
        <v>630</v>
      </c>
      <c r="F426" s="52" t="s">
        <v>645</v>
      </c>
      <c r="G426" s="52" t="s">
        <v>632</v>
      </c>
      <c r="H426" s="53" t="s">
        <v>638</v>
      </c>
    </row>
    <row r="427" spans="1:8" ht="15" customHeight="1" x14ac:dyDescent="0.3">
      <c r="A427" s="51">
        <v>46082</v>
      </c>
      <c r="B427" s="52" t="s">
        <v>639</v>
      </c>
      <c r="C427" s="52" t="s">
        <v>646</v>
      </c>
      <c r="D427" s="52">
        <v>3</v>
      </c>
      <c r="E427" s="52" t="s">
        <v>630</v>
      </c>
      <c r="F427" s="52" t="s">
        <v>647</v>
      </c>
      <c r="G427" s="52" t="s">
        <v>632</v>
      </c>
      <c r="H427" s="53" t="s">
        <v>638</v>
      </c>
    </row>
    <row r="428" spans="1:8" ht="15" customHeight="1" x14ac:dyDescent="0.3">
      <c r="A428" s="48">
        <v>46083</v>
      </c>
      <c r="B428" s="49" t="s">
        <v>640</v>
      </c>
      <c r="C428" s="49" t="s">
        <v>646</v>
      </c>
      <c r="D428" s="49">
        <v>3</v>
      </c>
      <c r="E428" s="49" t="s">
        <v>630</v>
      </c>
      <c r="F428" s="49" t="s">
        <v>647</v>
      </c>
      <c r="G428" s="49" t="s">
        <v>635</v>
      </c>
      <c r="H428" s="50"/>
    </row>
    <row r="429" spans="1:8" ht="15" customHeight="1" x14ac:dyDescent="0.3">
      <c r="A429" s="48">
        <v>46084</v>
      </c>
      <c r="B429" s="49" t="s">
        <v>641</v>
      </c>
      <c r="C429" s="49" t="s">
        <v>646</v>
      </c>
      <c r="D429" s="49">
        <v>3</v>
      </c>
      <c r="E429" s="49" t="s">
        <v>630</v>
      </c>
      <c r="F429" s="49" t="s">
        <v>647</v>
      </c>
      <c r="G429" s="49" t="s">
        <v>635</v>
      </c>
      <c r="H429" s="50"/>
    </row>
    <row r="430" spans="1:8" ht="15" customHeight="1" x14ac:dyDescent="0.3">
      <c r="A430" s="48">
        <v>46085</v>
      </c>
      <c r="B430" s="49" t="s">
        <v>628</v>
      </c>
      <c r="C430" s="49" t="s">
        <v>646</v>
      </c>
      <c r="D430" s="49">
        <v>3</v>
      </c>
      <c r="E430" s="49" t="s">
        <v>630</v>
      </c>
      <c r="F430" s="49" t="s">
        <v>647</v>
      </c>
      <c r="G430" s="49" t="s">
        <v>635</v>
      </c>
      <c r="H430" s="50"/>
    </row>
    <row r="431" spans="1:8" ht="15" customHeight="1" x14ac:dyDescent="0.3">
      <c r="A431" s="48">
        <v>46086</v>
      </c>
      <c r="B431" s="49" t="s">
        <v>634</v>
      </c>
      <c r="C431" s="49" t="s">
        <v>646</v>
      </c>
      <c r="D431" s="49">
        <v>3</v>
      </c>
      <c r="E431" s="49" t="s">
        <v>630</v>
      </c>
      <c r="F431" s="49" t="s">
        <v>647</v>
      </c>
      <c r="G431" s="49" t="s">
        <v>635</v>
      </c>
      <c r="H431" s="50"/>
    </row>
    <row r="432" spans="1:8" ht="15" customHeight="1" x14ac:dyDescent="0.3">
      <c r="A432" s="48">
        <v>46087</v>
      </c>
      <c r="B432" s="49" t="s">
        <v>636</v>
      </c>
      <c r="C432" s="49" t="s">
        <v>646</v>
      </c>
      <c r="D432" s="49">
        <v>3</v>
      </c>
      <c r="E432" s="49" t="s">
        <v>630</v>
      </c>
      <c r="F432" s="49" t="s">
        <v>647</v>
      </c>
      <c r="G432" s="49" t="s">
        <v>635</v>
      </c>
      <c r="H432" s="50"/>
    </row>
    <row r="433" spans="1:8" ht="15" customHeight="1" x14ac:dyDescent="0.3">
      <c r="A433" s="51">
        <v>46088</v>
      </c>
      <c r="B433" s="52" t="s">
        <v>637</v>
      </c>
      <c r="C433" s="52" t="s">
        <v>646</v>
      </c>
      <c r="D433" s="52">
        <v>3</v>
      </c>
      <c r="E433" s="52" t="s">
        <v>630</v>
      </c>
      <c r="F433" s="52" t="s">
        <v>647</v>
      </c>
      <c r="G433" s="52" t="s">
        <v>632</v>
      </c>
      <c r="H433" s="53" t="s">
        <v>638</v>
      </c>
    </row>
    <row r="434" spans="1:8" ht="15" customHeight="1" x14ac:dyDescent="0.3">
      <c r="A434" s="51">
        <v>46089</v>
      </c>
      <c r="B434" s="52" t="s">
        <v>639</v>
      </c>
      <c r="C434" s="52" t="s">
        <v>646</v>
      </c>
      <c r="D434" s="52">
        <v>3</v>
      </c>
      <c r="E434" s="52" t="s">
        <v>630</v>
      </c>
      <c r="F434" s="52" t="s">
        <v>647</v>
      </c>
      <c r="G434" s="52" t="s">
        <v>632</v>
      </c>
      <c r="H434" s="53" t="s">
        <v>638</v>
      </c>
    </row>
    <row r="435" spans="1:8" ht="15" customHeight="1" x14ac:dyDescent="0.3">
      <c r="A435" s="48">
        <v>46090</v>
      </c>
      <c r="B435" s="49" t="s">
        <v>640</v>
      </c>
      <c r="C435" s="49" t="s">
        <v>646</v>
      </c>
      <c r="D435" s="49">
        <v>3</v>
      </c>
      <c r="E435" s="49" t="s">
        <v>630</v>
      </c>
      <c r="F435" s="49" t="s">
        <v>647</v>
      </c>
      <c r="G435" s="49" t="s">
        <v>635</v>
      </c>
      <c r="H435" s="50"/>
    </row>
    <row r="436" spans="1:8" ht="15" customHeight="1" x14ac:dyDescent="0.3">
      <c r="A436" s="48">
        <v>46091</v>
      </c>
      <c r="B436" s="49" t="s">
        <v>641</v>
      </c>
      <c r="C436" s="49" t="s">
        <v>646</v>
      </c>
      <c r="D436" s="49">
        <v>3</v>
      </c>
      <c r="E436" s="49" t="s">
        <v>630</v>
      </c>
      <c r="F436" s="49" t="s">
        <v>647</v>
      </c>
      <c r="G436" s="49" t="s">
        <v>635</v>
      </c>
      <c r="H436" s="50"/>
    </row>
    <row r="437" spans="1:8" ht="15" customHeight="1" x14ac:dyDescent="0.3">
      <c r="A437" s="48">
        <v>46092</v>
      </c>
      <c r="B437" s="49" t="s">
        <v>628</v>
      </c>
      <c r="C437" s="49" t="s">
        <v>646</v>
      </c>
      <c r="D437" s="49">
        <v>3</v>
      </c>
      <c r="E437" s="49" t="s">
        <v>630</v>
      </c>
      <c r="F437" s="49" t="s">
        <v>647</v>
      </c>
      <c r="G437" s="49" t="s">
        <v>635</v>
      </c>
      <c r="H437" s="50"/>
    </row>
    <row r="438" spans="1:8" ht="15" customHeight="1" x14ac:dyDescent="0.3">
      <c r="A438" s="48">
        <v>46093</v>
      </c>
      <c r="B438" s="49" t="s">
        <v>634</v>
      </c>
      <c r="C438" s="49" t="s">
        <v>646</v>
      </c>
      <c r="D438" s="49">
        <v>3</v>
      </c>
      <c r="E438" s="49" t="s">
        <v>630</v>
      </c>
      <c r="F438" s="49" t="s">
        <v>647</v>
      </c>
      <c r="G438" s="49" t="s">
        <v>635</v>
      </c>
      <c r="H438" s="50"/>
    </row>
    <row r="439" spans="1:8" ht="15" customHeight="1" x14ac:dyDescent="0.3">
      <c r="A439" s="48">
        <v>46094</v>
      </c>
      <c r="B439" s="49" t="s">
        <v>636</v>
      </c>
      <c r="C439" s="49" t="s">
        <v>646</v>
      </c>
      <c r="D439" s="49">
        <v>3</v>
      </c>
      <c r="E439" s="49" t="s">
        <v>630</v>
      </c>
      <c r="F439" s="49" t="s">
        <v>647</v>
      </c>
      <c r="G439" s="49" t="s">
        <v>635</v>
      </c>
      <c r="H439" s="50"/>
    </row>
    <row r="440" spans="1:8" ht="15" customHeight="1" x14ac:dyDescent="0.3">
      <c r="A440" s="51">
        <v>46095</v>
      </c>
      <c r="B440" s="52" t="s">
        <v>637</v>
      </c>
      <c r="C440" s="52" t="s">
        <v>646</v>
      </c>
      <c r="D440" s="52">
        <v>3</v>
      </c>
      <c r="E440" s="52" t="s">
        <v>630</v>
      </c>
      <c r="F440" s="52" t="s">
        <v>647</v>
      </c>
      <c r="G440" s="52" t="s">
        <v>632</v>
      </c>
      <c r="H440" s="53" t="s">
        <v>638</v>
      </c>
    </row>
    <row r="441" spans="1:8" ht="15" customHeight="1" x14ac:dyDescent="0.3">
      <c r="A441" s="51">
        <v>46096</v>
      </c>
      <c r="B441" s="52" t="s">
        <v>639</v>
      </c>
      <c r="C441" s="52" t="s">
        <v>646</v>
      </c>
      <c r="D441" s="52">
        <v>3</v>
      </c>
      <c r="E441" s="52" t="s">
        <v>630</v>
      </c>
      <c r="F441" s="52" t="s">
        <v>647</v>
      </c>
      <c r="G441" s="52" t="s">
        <v>632</v>
      </c>
      <c r="H441" s="53" t="s">
        <v>638</v>
      </c>
    </row>
    <row r="442" spans="1:8" ht="15" customHeight="1" x14ac:dyDescent="0.3">
      <c r="A442" s="48">
        <v>46097</v>
      </c>
      <c r="B442" s="49" t="s">
        <v>640</v>
      </c>
      <c r="C442" s="49" t="s">
        <v>646</v>
      </c>
      <c r="D442" s="49">
        <v>3</v>
      </c>
      <c r="E442" s="49" t="s">
        <v>630</v>
      </c>
      <c r="F442" s="49" t="s">
        <v>647</v>
      </c>
      <c r="G442" s="49" t="s">
        <v>635</v>
      </c>
      <c r="H442" s="50"/>
    </row>
    <row r="443" spans="1:8" ht="15" customHeight="1" x14ac:dyDescent="0.3">
      <c r="A443" s="48">
        <v>46098</v>
      </c>
      <c r="B443" s="49" t="s">
        <v>641</v>
      </c>
      <c r="C443" s="49" t="s">
        <v>646</v>
      </c>
      <c r="D443" s="49">
        <v>3</v>
      </c>
      <c r="E443" s="49" t="s">
        <v>630</v>
      </c>
      <c r="F443" s="49" t="s">
        <v>647</v>
      </c>
      <c r="G443" s="49" t="s">
        <v>635</v>
      </c>
      <c r="H443" s="50"/>
    </row>
    <row r="444" spans="1:8" ht="15" customHeight="1" x14ac:dyDescent="0.3">
      <c r="A444" s="48">
        <v>46099</v>
      </c>
      <c r="B444" s="49" t="s">
        <v>628</v>
      </c>
      <c r="C444" s="49" t="s">
        <v>646</v>
      </c>
      <c r="D444" s="49">
        <v>3</v>
      </c>
      <c r="E444" s="49" t="s">
        <v>630</v>
      </c>
      <c r="F444" s="49" t="s">
        <v>647</v>
      </c>
      <c r="G444" s="49" t="s">
        <v>635</v>
      </c>
      <c r="H444" s="50"/>
    </row>
    <row r="445" spans="1:8" ht="15" customHeight="1" x14ac:dyDescent="0.3">
      <c r="A445" s="48">
        <v>46100</v>
      </c>
      <c r="B445" s="49" t="s">
        <v>634</v>
      </c>
      <c r="C445" s="49" t="s">
        <v>646</v>
      </c>
      <c r="D445" s="49">
        <v>3</v>
      </c>
      <c r="E445" s="49" t="s">
        <v>630</v>
      </c>
      <c r="F445" s="49" t="s">
        <v>647</v>
      </c>
      <c r="G445" s="49" t="s">
        <v>635</v>
      </c>
      <c r="H445" s="50"/>
    </row>
    <row r="446" spans="1:8" ht="15" customHeight="1" x14ac:dyDescent="0.3">
      <c r="A446" s="48">
        <v>46101</v>
      </c>
      <c r="B446" s="49" t="s">
        <v>636</v>
      </c>
      <c r="C446" s="49" t="s">
        <v>646</v>
      </c>
      <c r="D446" s="49">
        <v>3</v>
      </c>
      <c r="E446" s="49" t="s">
        <v>630</v>
      </c>
      <c r="F446" s="49" t="s">
        <v>647</v>
      </c>
      <c r="G446" s="49" t="s">
        <v>635</v>
      </c>
      <c r="H446" s="50"/>
    </row>
    <row r="447" spans="1:8" ht="15" customHeight="1" x14ac:dyDescent="0.3">
      <c r="A447" s="51">
        <v>46102</v>
      </c>
      <c r="B447" s="52" t="s">
        <v>637</v>
      </c>
      <c r="C447" s="52" t="s">
        <v>646</v>
      </c>
      <c r="D447" s="52">
        <v>3</v>
      </c>
      <c r="E447" s="52" t="s">
        <v>630</v>
      </c>
      <c r="F447" s="52" t="s">
        <v>647</v>
      </c>
      <c r="G447" s="52" t="s">
        <v>632</v>
      </c>
      <c r="H447" s="53" t="s">
        <v>638</v>
      </c>
    </row>
    <row r="448" spans="1:8" ht="15" customHeight="1" x14ac:dyDescent="0.3">
      <c r="A448" s="51">
        <v>46103</v>
      </c>
      <c r="B448" s="52" t="s">
        <v>639</v>
      </c>
      <c r="C448" s="52" t="s">
        <v>646</v>
      </c>
      <c r="D448" s="52">
        <v>3</v>
      </c>
      <c r="E448" s="52" t="s">
        <v>630</v>
      </c>
      <c r="F448" s="52" t="s">
        <v>647</v>
      </c>
      <c r="G448" s="52" t="s">
        <v>632</v>
      </c>
      <c r="H448" s="53" t="s">
        <v>638</v>
      </c>
    </row>
    <row r="449" spans="1:8" ht="15" customHeight="1" x14ac:dyDescent="0.3">
      <c r="A449" s="48">
        <v>46104</v>
      </c>
      <c r="B449" s="49" t="s">
        <v>640</v>
      </c>
      <c r="C449" s="49" t="s">
        <v>646</v>
      </c>
      <c r="D449" s="49">
        <v>3</v>
      </c>
      <c r="E449" s="49" t="s">
        <v>630</v>
      </c>
      <c r="F449" s="49" t="s">
        <v>647</v>
      </c>
      <c r="G449" s="49" t="s">
        <v>635</v>
      </c>
      <c r="H449" s="50"/>
    </row>
    <row r="450" spans="1:8" ht="15" customHeight="1" x14ac:dyDescent="0.3">
      <c r="A450" s="48">
        <v>46105</v>
      </c>
      <c r="B450" s="49" t="s">
        <v>641</v>
      </c>
      <c r="C450" s="49" t="s">
        <v>646</v>
      </c>
      <c r="D450" s="49">
        <v>3</v>
      </c>
      <c r="E450" s="49" t="s">
        <v>630</v>
      </c>
      <c r="F450" s="49" t="s">
        <v>647</v>
      </c>
      <c r="G450" s="49" t="s">
        <v>635</v>
      </c>
      <c r="H450" s="50"/>
    </row>
    <row r="451" spans="1:8" ht="15" customHeight="1" x14ac:dyDescent="0.3">
      <c r="A451" s="48">
        <v>46106</v>
      </c>
      <c r="B451" s="49" t="s">
        <v>628</v>
      </c>
      <c r="C451" s="49" t="s">
        <v>646</v>
      </c>
      <c r="D451" s="49">
        <v>3</v>
      </c>
      <c r="E451" s="49" t="s">
        <v>630</v>
      </c>
      <c r="F451" s="49" t="s">
        <v>647</v>
      </c>
      <c r="G451" s="49" t="s">
        <v>635</v>
      </c>
      <c r="H451" s="50"/>
    </row>
    <row r="452" spans="1:8" ht="15" customHeight="1" x14ac:dyDescent="0.3">
      <c r="A452" s="48">
        <v>46107</v>
      </c>
      <c r="B452" s="49" t="s">
        <v>634</v>
      </c>
      <c r="C452" s="49" t="s">
        <v>646</v>
      </c>
      <c r="D452" s="49">
        <v>3</v>
      </c>
      <c r="E452" s="49" t="s">
        <v>630</v>
      </c>
      <c r="F452" s="49" t="s">
        <v>647</v>
      </c>
      <c r="G452" s="49" t="s">
        <v>635</v>
      </c>
      <c r="H452" s="50"/>
    </row>
    <row r="453" spans="1:8" ht="15" customHeight="1" x14ac:dyDescent="0.3">
      <c r="A453" s="48">
        <v>46108</v>
      </c>
      <c r="B453" s="49" t="s">
        <v>636</v>
      </c>
      <c r="C453" s="49" t="s">
        <v>646</v>
      </c>
      <c r="D453" s="49">
        <v>3</v>
      </c>
      <c r="E453" s="49" t="s">
        <v>630</v>
      </c>
      <c r="F453" s="49" t="s">
        <v>647</v>
      </c>
      <c r="G453" s="49" t="s">
        <v>635</v>
      </c>
      <c r="H453" s="50"/>
    </row>
    <row r="454" spans="1:8" ht="15" customHeight="1" x14ac:dyDescent="0.3">
      <c r="A454" s="51">
        <v>46109</v>
      </c>
      <c r="B454" s="52" t="s">
        <v>637</v>
      </c>
      <c r="C454" s="52" t="s">
        <v>646</v>
      </c>
      <c r="D454" s="52">
        <v>3</v>
      </c>
      <c r="E454" s="52" t="s">
        <v>630</v>
      </c>
      <c r="F454" s="52" t="s">
        <v>647</v>
      </c>
      <c r="G454" s="52" t="s">
        <v>632</v>
      </c>
      <c r="H454" s="53" t="s">
        <v>638</v>
      </c>
    </row>
    <row r="455" spans="1:8" ht="15" customHeight="1" x14ac:dyDescent="0.3">
      <c r="A455" s="51">
        <v>46110</v>
      </c>
      <c r="B455" s="52" t="s">
        <v>639</v>
      </c>
      <c r="C455" s="52" t="s">
        <v>646</v>
      </c>
      <c r="D455" s="52">
        <v>3</v>
      </c>
      <c r="E455" s="52" t="s">
        <v>630</v>
      </c>
      <c r="F455" s="52" t="s">
        <v>647</v>
      </c>
      <c r="G455" s="52" t="s">
        <v>632</v>
      </c>
      <c r="H455" s="53" t="s">
        <v>638</v>
      </c>
    </row>
    <row r="456" spans="1:8" ht="15" customHeight="1" x14ac:dyDescent="0.3">
      <c r="A456" s="48">
        <v>46111</v>
      </c>
      <c r="B456" s="49" t="s">
        <v>640</v>
      </c>
      <c r="C456" s="49" t="s">
        <v>646</v>
      </c>
      <c r="D456" s="49">
        <v>3</v>
      </c>
      <c r="E456" s="49" t="s">
        <v>630</v>
      </c>
      <c r="F456" s="49" t="s">
        <v>647</v>
      </c>
      <c r="G456" s="49" t="s">
        <v>635</v>
      </c>
      <c r="H456" s="50"/>
    </row>
    <row r="457" spans="1:8" ht="15" customHeight="1" x14ac:dyDescent="0.3">
      <c r="A457" s="48">
        <v>46112</v>
      </c>
      <c r="B457" s="49" t="s">
        <v>641</v>
      </c>
      <c r="C457" s="49" t="s">
        <v>646</v>
      </c>
      <c r="D457" s="49">
        <v>3</v>
      </c>
      <c r="E457" s="49" t="s">
        <v>630</v>
      </c>
      <c r="F457" s="49" t="s">
        <v>647</v>
      </c>
      <c r="G457" s="49" t="s">
        <v>635</v>
      </c>
      <c r="H457" s="50"/>
    </row>
    <row r="458" spans="1:8" ht="15" customHeight="1" x14ac:dyDescent="0.3">
      <c r="A458" s="54">
        <v>46113</v>
      </c>
      <c r="B458" s="55" t="s">
        <v>628</v>
      </c>
      <c r="C458" s="55" t="s">
        <v>649</v>
      </c>
      <c r="D458" s="55">
        <v>4</v>
      </c>
      <c r="E458" s="55" t="s">
        <v>650</v>
      </c>
      <c r="F458" s="55" t="s">
        <v>651</v>
      </c>
      <c r="G458" s="55" t="s">
        <v>635</v>
      </c>
      <c r="H458" s="56"/>
    </row>
    <row r="459" spans="1:8" ht="15" customHeight="1" x14ac:dyDescent="0.3">
      <c r="A459" s="48">
        <v>46114</v>
      </c>
      <c r="B459" s="49" t="s">
        <v>634</v>
      </c>
      <c r="C459" s="49" t="s">
        <v>649</v>
      </c>
      <c r="D459" s="49">
        <v>4</v>
      </c>
      <c r="E459" s="49" t="s">
        <v>650</v>
      </c>
      <c r="F459" s="49" t="s">
        <v>651</v>
      </c>
      <c r="G459" s="49" t="s">
        <v>635</v>
      </c>
      <c r="H459" s="50"/>
    </row>
    <row r="460" spans="1:8" ht="15" customHeight="1" x14ac:dyDescent="0.3">
      <c r="A460" s="48">
        <v>46115</v>
      </c>
      <c r="B460" s="49" t="s">
        <v>636</v>
      </c>
      <c r="C460" s="49" t="s">
        <v>649</v>
      </c>
      <c r="D460" s="49">
        <v>4</v>
      </c>
      <c r="E460" s="49" t="s">
        <v>650</v>
      </c>
      <c r="F460" s="49" t="s">
        <v>651</v>
      </c>
      <c r="G460" s="49" t="s">
        <v>635</v>
      </c>
      <c r="H460" s="50"/>
    </row>
    <row r="461" spans="1:8" ht="15" customHeight="1" x14ac:dyDescent="0.3">
      <c r="A461" s="51">
        <v>46116</v>
      </c>
      <c r="B461" s="52" t="s">
        <v>637</v>
      </c>
      <c r="C461" s="52" t="s">
        <v>649</v>
      </c>
      <c r="D461" s="52">
        <v>4</v>
      </c>
      <c r="E461" s="52" t="s">
        <v>650</v>
      </c>
      <c r="F461" s="52" t="s">
        <v>651</v>
      </c>
      <c r="G461" s="52" t="s">
        <v>632</v>
      </c>
      <c r="H461" s="53" t="s">
        <v>638</v>
      </c>
    </row>
    <row r="462" spans="1:8" ht="15" customHeight="1" x14ac:dyDescent="0.3">
      <c r="A462" s="51">
        <v>46117</v>
      </c>
      <c r="B462" s="52" t="s">
        <v>639</v>
      </c>
      <c r="C462" s="52" t="s">
        <v>649</v>
      </c>
      <c r="D462" s="52">
        <v>4</v>
      </c>
      <c r="E462" s="52" t="s">
        <v>650</v>
      </c>
      <c r="F462" s="52" t="s">
        <v>651</v>
      </c>
      <c r="G462" s="52" t="s">
        <v>632</v>
      </c>
      <c r="H462" s="53" t="s">
        <v>638</v>
      </c>
    </row>
    <row r="463" spans="1:8" ht="15" customHeight="1" x14ac:dyDescent="0.3">
      <c r="A463" s="48">
        <v>46118</v>
      </c>
      <c r="B463" s="49" t="s">
        <v>640</v>
      </c>
      <c r="C463" s="49" t="s">
        <v>649</v>
      </c>
      <c r="D463" s="49">
        <v>4</v>
      </c>
      <c r="E463" s="49" t="s">
        <v>650</v>
      </c>
      <c r="F463" s="49" t="s">
        <v>651</v>
      </c>
      <c r="G463" s="49" t="s">
        <v>635</v>
      </c>
      <c r="H463" s="50"/>
    </row>
    <row r="464" spans="1:8" ht="15" customHeight="1" x14ac:dyDescent="0.3">
      <c r="A464" s="48">
        <v>46119</v>
      </c>
      <c r="B464" s="49" t="s">
        <v>641</v>
      </c>
      <c r="C464" s="49" t="s">
        <v>649</v>
      </c>
      <c r="D464" s="49">
        <v>4</v>
      </c>
      <c r="E464" s="49" t="s">
        <v>650</v>
      </c>
      <c r="F464" s="49" t="s">
        <v>651</v>
      </c>
      <c r="G464" s="49" t="s">
        <v>635</v>
      </c>
      <c r="H464" s="50"/>
    </row>
    <row r="465" spans="1:8" ht="15" customHeight="1" x14ac:dyDescent="0.3">
      <c r="A465" s="48">
        <v>46120</v>
      </c>
      <c r="B465" s="49" t="s">
        <v>628</v>
      </c>
      <c r="C465" s="49" t="s">
        <v>649</v>
      </c>
      <c r="D465" s="49">
        <v>4</v>
      </c>
      <c r="E465" s="49" t="s">
        <v>650</v>
      </c>
      <c r="F465" s="49" t="s">
        <v>651</v>
      </c>
      <c r="G465" s="49" t="s">
        <v>635</v>
      </c>
      <c r="H465" s="50"/>
    </row>
    <row r="466" spans="1:8" ht="15" customHeight="1" x14ac:dyDescent="0.3">
      <c r="A466" s="48">
        <v>46121</v>
      </c>
      <c r="B466" s="49" t="s">
        <v>634</v>
      </c>
      <c r="C466" s="49" t="s">
        <v>649</v>
      </c>
      <c r="D466" s="49">
        <v>4</v>
      </c>
      <c r="E466" s="49" t="s">
        <v>650</v>
      </c>
      <c r="F466" s="49" t="s">
        <v>651</v>
      </c>
      <c r="G466" s="49" t="s">
        <v>635</v>
      </c>
      <c r="H466" s="50"/>
    </row>
    <row r="467" spans="1:8" ht="15" customHeight="1" x14ac:dyDescent="0.3">
      <c r="A467" s="48">
        <v>46122</v>
      </c>
      <c r="B467" s="49" t="s">
        <v>636</v>
      </c>
      <c r="C467" s="49" t="s">
        <v>649</v>
      </c>
      <c r="D467" s="49">
        <v>4</v>
      </c>
      <c r="E467" s="49" t="s">
        <v>650</v>
      </c>
      <c r="F467" s="49" t="s">
        <v>651</v>
      </c>
      <c r="G467" s="49" t="s">
        <v>635</v>
      </c>
      <c r="H467" s="50"/>
    </row>
    <row r="468" spans="1:8" ht="15" customHeight="1" x14ac:dyDescent="0.3">
      <c r="A468" s="51">
        <v>46123</v>
      </c>
      <c r="B468" s="52" t="s">
        <v>637</v>
      </c>
      <c r="C468" s="52" t="s">
        <v>649</v>
      </c>
      <c r="D468" s="52">
        <v>4</v>
      </c>
      <c r="E468" s="52" t="s">
        <v>650</v>
      </c>
      <c r="F468" s="52" t="s">
        <v>651</v>
      </c>
      <c r="G468" s="52" t="s">
        <v>632</v>
      </c>
      <c r="H468" s="53" t="s">
        <v>638</v>
      </c>
    </row>
    <row r="469" spans="1:8" ht="15" customHeight="1" x14ac:dyDescent="0.3">
      <c r="A469" s="51">
        <v>46124</v>
      </c>
      <c r="B469" s="52" t="s">
        <v>639</v>
      </c>
      <c r="C469" s="52" t="s">
        <v>649</v>
      </c>
      <c r="D469" s="52">
        <v>4</v>
      </c>
      <c r="E469" s="52" t="s">
        <v>650</v>
      </c>
      <c r="F469" s="52" t="s">
        <v>651</v>
      </c>
      <c r="G469" s="52" t="s">
        <v>632</v>
      </c>
      <c r="H469" s="53" t="s">
        <v>638</v>
      </c>
    </row>
    <row r="470" spans="1:8" ht="15" customHeight="1" x14ac:dyDescent="0.3">
      <c r="A470" s="48">
        <v>46125</v>
      </c>
      <c r="B470" s="49" t="s">
        <v>640</v>
      </c>
      <c r="C470" s="49" t="s">
        <v>649</v>
      </c>
      <c r="D470" s="49">
        <v>4</v>
      </c>
      <c r="E470" s="49" t="s">
        <v>650</v>
      </c>
      <c r="F470" s="49" t="s">
        <v>651</v>
      </c>
      <c r="G470" s="49" t="s">
        <v>635</v>
      </c>
      <c r="H470" s="50"/>
    </row>
    <row r="471" spans="1:8" ht="15" customHeight="1" x14ac:dyDescent="0.3">
      <c r="A471" s="48">
        <v>46126</v>
      </c>
      <c r="B471" s="49" t="s">
        <v>641</v>
      </c>
      <c r="C471" s="49" t="s">
        <v>649</v>
      </c>
      <c r="D471" s="49">
        <v>4</v>
      </c>
      <c r="E471" s="49" t="s">
        <v>650</v>
      </c>
      <c r="F471" s="49" t="s">
        <v>651</v>
      </c>
      <c r="G471" s="49" t="s">
        <v>635</v>
      </c>
      <c r="H471" s="50"/>
    </row>
    <row r="472" spans="1:8" ht="15" customHeight="1" x14ac:dyDescent="0.3">
      <c r="A472" s="48">
        <v>46127</v>
      </c>
      <c r="B472" s="49" t="s">
        <v>628</v>
      </c>
      <c r="C472" s="49" t="s">
        <v>649</v>
      </c>
      <c r="D472" s="49">
        <v>4</v>
      </c>
      <c r="E472" s="49" t="s">
        <v>650</v>
      </c>
      <c r="F472" s="49" t="s">
        <v>651</v>
      </c>
      <c r="G472" s="49" t="s">
        <v>635</v>
      </c>
      <c r="H472" s="50"/>
    </row>
    <row r="473" spans="1:8" ht="15" customHeight="1" x14ac:dyDescent="0.3">
      <c r="A473" s="48">
        <v>46128</v>
      </c>
      <c r="B473" s="49" t="s">
        <v>634</v>
      </c>
      <c r="C473" s="49" t="s">
        <v>649</v>
      </c>
      <c r="D473" s="49">
        <v>4</v>
      </c>
      <c r="E473" s="49" t="s">
        <v>650</v>
      </c>
      <c r="F473" s="49" t="s">
        <v>651</v>
      </c>
      <c r="G473" s="49" t="s">
        <v>635</v>
      </c>
      <c r="H473" s="50"/>
    </row>
    <row r="474" spans="1:8" ht="15" customHeight="1" x14ac:dyDescent="0.3">
      <c r="A474" s="48">
        <v>46129</v>
      </c>
      <c r="B474" s="49" t="s">
        <v>636</v>
      </c>
      <c r="C474" s="49" t="s">
        <v>649</v>
      </c>
      <c r="D474" s="49">
        <v>4</v>
      </c>
      <c r="E474" s="49" t="s">
        <v>650</v>
      </c>
      <c r="F474" s="49" t="s">
        <v>651</v>
      </c>
      <c r="G474" s="49" t="s">
        <v>635</v>
      </c>
      <c r="H474" s="50"/>
    </row>
    <row r="475" spans="1:8" ht="15" customHeight="1" x14ac:dyDescent="0.3">
      <c r="A475" s="51">
        <v>46130</v>
      </c>
      <c r="B475" s="52" t="s">
        <v>637</v>
      </c>
      <c r="C475" s="52" t="s">
        <v>649</v>
      </c>
      <c r="D475" s="52">
        <v>4</v>
      </c>
      <c r="E475" s="52" t="s">
        <v>650</v>
      </c>
      <c r="F475" s="52" t="s">
        <v>651</v>
      </c>
      <c r="G475" s="52" t="s">
        <v>632</v>
      </c>
      <c r="H475" s="53" t="s">
        <v>638</v>
      </c>
    </row>
    <row r="476" spans="1:8" ht="15" customHeight="1" x14ac:dyDescent="0.3">
      <c r="A476" s="51">
        <v>46131</v>
      </c>
      <c r="B476" s="52" t="s">
        <v>639</v>
      </c>
      <c r="C476" s="52" t="s">
        <v>649</v>
      </c>
      <c r="D476" s="52">
        <v>4</v>
      </c>
      <c r="E476" s="52" t="s">
        <v>650</v>
      </c>
      <c r="F476" s="52" t="s">
        <v>651</v>
      </c>
      <c r="G476" s="52" t="s">
        <v>632</v>
      </c>
      <c r="H476" s="53" t="s">
        <v>638</v>
      </c>
    </row>
    <row r="477" spans="1:8" ht="15" customHeight="1" x14ac:dyDescent="0.3">
      <c r="A477" s="48">
        <v>46132</v>
      </c>
      <c r="B477" s="49" t="s">
        <v>640</v>
      </c>
      <c r="C477" s="49" t="s">
        <v>649</v>
      </c>
      <c r="D477" s="49">
        <v>4</v>
      </c>
      <c r="E477" s="49" t="s">
        <v>650</v>
      </c>
      <c r="F477" s="49" t="s">
        <v>651</v>
      </c>
      <c r="G477" s="49" t="s">
        <v>635</v>
      </c>
      <c r="H477" s="50"/>
    </row>
    <row r="478" spans="1:8" ht="15" customHeight="1" x14ac:dyDescent="0.3">
      <c r="A478" s="48">
        <v>46133</v>
      </c>
      <c r="B478" s="49" t="s">
        <v>641</v>
      </c>
      <c r="C478" s="49" t="s">
        <v>649</v>
      </c>
      <c r="D478" s="49">
        <v>4</v>
      </c>
      <c r="E478" s="49" t="s">
        <v>650</v>
      </c>
      <c r="F478" s="49" t="s">
        <v>651</v>
      </c>
      <c r="G478" s="49" t="s">
        <v>635</v>
      </c>
      <c r="H478" s="50"/>
    </row>
    <row r="479" spans="1:8" ht="15" customHeight="1" x14ac:dyDescent="0.3">
      <c r="A479" s="48">
        <v>46134</v>
      </c>
      <c r="B479" s="49" t="s">
        <v>628</v>
      </c>
      <c r="C479" s="49" t="s">
        <v>649</v>
      </c>
      <c r="D479" s="49">
        <v>4</v>
      </c>
      <c r="E479" s="49" t="s">
        <v>650</v>
      </c>
      <c r="F479" s="49" t="s">
        <v>651</v>
      </c>
      <c r="G479" s="49" t="s">
        <v>635</v>
      </c>
      <c r="H479" s="50"/>
    </row>
    <row r="480" spans="1:8" ht="15" customHeight="1" x14ac:dyDescent="0.3">
      <c r="A480" s="48">
        <v>46135</v>
      </c>
      <c r="B480" s="49" t="s">
        <v>634</v>
      </c>
      <c r="C480" s="49" t="s">
        <v>649</v>
      </c>
      <c r="D480" s="49">
        <v>4</v>
      </c>
      <c r="E480" s="49" t="s">
        <v>650</v>
      </c>
      <c r="F480" s="49" t="s">
        <v>651</v>
      </c>
      <c r="G480" s="49" t="s">
        <v>635</v>
      </c>
      <c r="H480" s="50"/>
    </row>
    <row r="481" spans="1:8" ht="15" customHeight="1" x14ac:dyDescent="0.3">
      <c r="A481" s="48">
        <v>46136</v>
      </c>
      <c r="B481" s="49" t="s">
        <v>636</v>
      </c>
      <c r="C481" s="49" t="s">
        <v>649</v>
      </c>
      <c r="D481" s="49">
        <v>4</v>
      </c>
      <c r="E481" s="49" t="s">
        <v>650</v>
      </c>
      <c r="F481" s="49" t="s">
        <v>651</v>
      </c>
      <c r="G481" s="49" t="s">
        <v>635</v>
      </c>
      <c r="H481" s="50"/>
    </row>
    <row r="482" spans="1:8" ht="15" customHeight="1" x14ac:dyDescent="0.3">
      <c r="A482" s="51">
        <v>46137</v>
      </c>
      <c r="B482" s="52" t="s">
        <v>637</v>
      </c>
      <c r="C482" s="52" t="s">
        <v>649</v>
      </c>
      <c r="D482" s="52">
        <v>4</v>
      </c>
      <c r="E482" s="52" t="s">
        <v>650</v>
      </c>
      <c r="F482" s="52" t="s">
        <v>651</v>
      </c>
      <c r="G482" s="52" t="s">
        <v>632</v>
      </c>
      <c r="H482" s="53" t="s">
        <v>638</v>
      </c>
    </row>
    <row r="483" spans="1:8" ht="15" customHeight="1" x14ac:dyDescent="0.3">
      <c r="A483" s="51">
        <v>46138</v>
      </c>
      <c r="B483" s="52" t="s">
        <v>639</v>
      </c>
      <c r="C483" s="52" t="s">
        <v>649</v>
      </c>
      <c r="D483" s="52">
        <v>4</v>
      </c>
      <c r="E483" s="52" t="s">
        <v>650</v>
      </c>
      <c r="F483" s="52" t="s">
        <v>651</v>
      </c>
      <c r="G483" s="52" t="s">
        <v>632</v>
      </c>
      <c r="H483" s="53" t="s">
        <v>638</v>
      </c>
    </row>
    <row r="484" spans="1:8" ht="15" customHeight="1" x14ac:dyDescent="0.3">
      <c r="A484" s="48">
        <v>46139</v>
      </c>
      <c r="B484" s="49" t="s">
        <v>640</v>
      </c>
      <c r="C484" s="49" t="s">
        <v>649</v>
      </c>
      <c r="D484" s="49">
        <v>4</v>
      </c>
      <c r="E484" s="49" t="s">
        <v>650</v>
      </c>
      <c r="F484" s="49" t="s">
        <v>651</v>
      </c>
      <c r="G484" s="49" t="s">
        <v>635</v>
      </c>
      <c r="H484" s="50"/>
    </row>
    <row r="485" spans="1:8" ht="15" customHeight="1" x14ac:dyDescent="0.3">
      <c r="A485" s="48">
        <v>46140</v>
      </c>
      <c r="B485" s="49" t="s">
        <v>641</v>
      </c>
      <c r="C485" s="49" t="s">
        <v>649</v>
      </c>
      <c r="D485" s="49">
        <v>4</v>
      </c>
      <c r="E485" s="49" t="s">
        <v>650</v>
      </c>
      <c r="F485" s="49" t="s">
        <v>651</v>
      </c>
      <c r="G485" s="49" t="s">
        <v>635</v>
      </c>
      <c r="H485" s="50"/>
    </row>
    <row r="486" spans="1:8" ht="15" customHeight="1" x14ac:dyDescent="0.3">
      <c r="A486" s="48">
        <v>46141</v>
      </c>
      <c r="B486" s="49" t="s">
        <v>628</v>
      </c>
      <c r="C486" s="49" t="s">
        <v>649</v>
      </c>
      <c r="D486" s="49">
        <v>4</v>
      </c>
      <c r="E486" s="49" t="s">
        <v>650</v>
      </c>
      <c r="F486" s="49" t="s">
        <v>651</v>
      </c>
      <c r="G486" s="49" t="s">
        <v>635</v>
      </c>
      <c r="H486" s="50"/>
    </row>
    <row r="487" spans="1:8" ht="15" customHeight="1" x14ac:dyDescent="0.3">
      <c r="A487" s="48">
        <v>46142</v>
      </c>
      <c r="B487" s="49" t="s">
        <v>634</v>
      </c>
      <c r="C487" s="49" t="s">
        <v>649</v>
      </c>
      <c r="D487" s="49">
        <v>4</v>
      </c>
      <c r="E487" s="49" t="s">
        <v>650</v>
      </c>
      <c r="F487" s="49" t="s">
        <v>651</v>
      </c>
      <c r="G487" s="49" t="s">
        <v>635</v>
      </c>
      <c r="H487" s="50"/>
    </row>
    <row r="488" spans="1:8" ht="15" customHeight="1" x14ac:dyDescent="0.3">
      <c r="A488" s="54">
        <v>46143</v>
      </c>
      <c r="B488" s="55" t="s">
        <v>636</v>
      </c>
      <c r="C488" s="55" t="s">
        <v>8</v>
      </c>
      <c r="D488" s="55">
        <v>5</v>
      </c>
      <c r="E488" s="55" t="s">
        <v>650</v>
      </c>
      <c r="F488" s="55" t="s">
        <v>653</v>
      </c>
      <c r="G488" s="55" t="s">
        <v>635</v>
      </c>
      <c r="H488" s="56"/>
    </row>
    <row r="489" spans="1:8" ht="15" customHeight="1" x14ac:dyDescent="0.3">
      <c r="A489" s="51">
        <v>46144</v>
      </c>
      <c r="B489" s="52" t="s">
        <v>637</v>
      </c>
      <c r="C489" s="52" t="s">
        <v>8</v>
      </c>
      <c r="D489" s="52">
        <v>5</v>
      </c>
      <c r="E489" s="52" t="s">
        <v>650</v>
      </c>
      <c r="F489" s="52" t="s">
        <v>653</v>
      </c>
      <c r="G489" s="52" t="s">
        <v>632</v>
      </c>
      <c r="H489" s="53" t="s">
        <v>638</v>
      </c>
    </row>
    <row r="490" spans="1:8" ht="15" customHeight="1" x14ac:dyDescent="0.3">
      <c r="A490" s="51">
        <v>46145</v>
      </c>
      <c r="B490" s="52" t="s">
        <v>639</v>
      </c>
      <c r="C490" s="52" t="s">
        <v>8</v>
      </c>
      <c r="D490" s="52">
        <v>5</v>
      </c>
      <c r="E490" s="52" t="s">
        <v>650</v>
      </c>
      <c r="F490" s="52" t="s">
        <v>653</v>
      </c>
      <c r="G490" s="52" t="s">
        <v>632</v>
      </c>
      <c r="H490" s="53" t="s">
        <v>638</v>
      </c>
    </row>
    <row r="491" spans="1:8" ht="15" customHeight="1" x14ac:dyDescent="0.3">
      <c r="A491" s="48">
        <v>46146</v>
      </c>
      <c r="B491" s="49" t="s">
        <v>640</v>
      </c>
      <c r="C491" s="49" t="s">
        <v>8</v>
      </c>
      <c r="D491" s="49">
        <v>5</v>
      </c>
      <c r="E491" s="49" t="s">
        <v>650</v>
      </c>
      <c r="F491" s="49" t="s">
        <v>653</v>
      </c>
      <c r="G491" s="49" t="s">
        <v>635</v>
      </c>
      <c r="H491" s="50"/>
    </row>
    <row r="492" spans="1:8" ht="15" customHeight="1" x14ac:dyDescent="0.3">
      <c r="A492" s="48">
        <v>46147</v>
      </c>
      <c r="B492" s="49" t="s">
        <v>641</v>
      </c>
      <c r="C492" s="49" t="s">
        <v>8</v>
      </c>
      <c r="D492" s="49">
        <v>5</v>
      </c>
      <c r="E492" s="49" t="s">
        <v>650</v>
      </c>
      <c r="F492" s="49" t="s">
        <v>653</v>
      </c>
      <c r="G492" s="49" t="s">
        <v>635</v>
      </c>
      <c r="H492" s="50"/>
    </row>
    <row r="493" spans="1:8" ht="15" customHeight="1" x14ac:dyDescent="0.3">
      <c r="A493" s="48">
        <v>46148</v>
      </c>
      <c r="B493" s="49" t="s">
        <v>628</v>
      </c>
      <c r="C493" s="49" t="s">
        <v>8</v>
      </c>
      <c r="D493" s="49">
        <v>5</v>
      </c>
      <c r="E493" s="49" t="s">
        <v>650</v>
      </c>
      <c r="F493" s="49" t="s">
        <v>653</v>
      </c>
      <c r="G493" s="49" t="s">
        <v>635</v>
      </c>
      <c r="H493" s="50"/>
    </row>
    <row r="494" spans="1:8" ht="15" customHeight="1" x14ac:dyDescent="0.3">
      <c r="A494" s="48">
        <v>46149</v>
      </c>
      <c r="B494" s="49" t="s">
        <v>634</v>
      </c>
      <c r="C494" s="49" t="s">
        <v>8</v>
      </c>
      <c r="D494" s="49">
        <v>5</v>
      </c>
      <c r="E494" s="49" t="s">
        <v>650</v>
      </c>
      <c r="F494" s="49" t="s">
        <v>653</v>
      </c>
      <c r="G494" s="49" t="s">
        <v>635</v>
      </c>
      <c r="H494" s="50"/>
    </row>
    <row r="495" spans="1:8" ht="15" customHeight="1" x14ac:dyDescent="0.3">
      <c r="A495" s="48">
        <v>46150</v>
      </c>
      <c r="B495" s="49" t="s">
        <v>636</v>
      </c>
      <c r="C495" s="49" t="s">
        <v>8</v>
      </c>
      <c r="D495" s="49">
        <v>5</v>
      </c>
      <c r="E495" s="49" t="s">
        <v>650</v>
      </c>
      <c r="F495" s="49" t="s">
        <v>653</v>
      </c>
      <c r="G495" s="49" t="s">
        <v>635</v>
      </c>
      <c r="H495" s="50"/>
    </row>
    <row r="496" spans="1:8" ht="15" customHeight="1" x14ac:dyDescent="0.3">
      <c r="A496" s="51">
        <v>46151</v>
      </c>
      <c r="B496" s="52" t="s">
        <v>637</v>
      </c>
      <c r="C496" s="52" t="s">
        <v>8</v>
      </c>
      <c r="D496" s="52">
        <v>5</v>
      </c>
      <c r="E496" s="52" t="s">
        <v>650</v>
      </c>
      <c r="F496" s="52" t="s">
        <v>653</v>
      </c>
      <c r="G496" s="52" t="s">
        <v>632</v>
      </c>
      <c r="H496" s="53" t="s">
        <v>638</v>
      </c>
    </row>
    <row r="497" spans="1:8" ht="15" customHeight="1" x14ac:dyDescent="0.3">
      <c r="A497" s="51">
        <v>46152</v>
      </c>
      <c r="B497" s="52" t="s">
        <v>639</v>
      </c>
      <c r="C497" s="52" t="s">
        <v>8</v>
      </c>
      <c r="D497" s="52">
        <v>5</v>
      </c>
      <c r="E497" s="52" t="s">
        <v>650</v>
      </c>
      <c r="F497" s="52" t="s">
        <v>653</v>
      </c>
      <c r="G497" s="52" t="s">
        <v>632</v>
      </c>
      <c r="H497" s="53" t="s">
        <v>638</v>
      </c>
    </row>
    <row r="498" spans="1:8" ht="15" customHeight="1" x14ac:dyDescent="0.3">
      <c r="A498" s="48">
        <v>46153</v>
      </c>
      <c r="B498" s="49" t="s">
        <v>640</v>
      </c>
      <c r="C498" s="49" t="s">
        <v>8</v>
      </c>
      <c r="D498" s="49">
        <v>5</v>
      </c>
      <c r="E498" s="49" t="s">
        <v>650</v>
      </c>
      <c r="F498" s="49" t="s">
        <v>653</v>
      </c>
      <c r="G498" s="49" t="s">
        <v>635</v>
      </c>
      <c r="H498" s="50"/>
    </row>
    <row r="499" spans="1:8" ht="15" customHeight="1" x14ac:dyDescent="0.3">
      <c r="A499" s="48">
        <v>46154</v>
      </c>
      <c r="B499" s="49" t="s">
        <v>641</v>
      </c>
      <c r="C499" s="49" t="s">
        <v>8</v>
      </c>
      <c r="D499" s="49">
        <v>5</v>
      </c>
      <c r="E499" s="49" t="s">
        <v>650</v>
      </c>
      <c r="F499" s="49" t="s">
        <v>653</v>
      </c>
      <c r="G499" s="49" t="s">
        <v>635</v>
      </c>
      <c r="H499" s="50"/>
    </row>
    <row r="500" spans="1:8" ht="15" customHeight="1" x14ac:dyDescent="0.3">
      <c r="A500" s="48">
        <v>46155</v>
      </c>
      <c r="B500" s="49" t="s">
        <v>628</v>
      </c>
      <c r="C500" s="49" t="s">
        <v>8</v>
      </c>
      <c r="D500" s="49">
        <v>5</v>
      </c>
      <c r="E500" s="49" t="s">
        <v>650</v>
      </c>
      <c r="F500" s="49" t="s">
        <v>653</v>
      </c>
      <c r="G500" s="49" t="s">
        <v>635</v>
      </c>
      <c r="H500" s="50"/>
    </row>
    <row r="501" spans="1:8" ht="15" customHeight="1" x14ac:dyDescent="0.3">
      <c r="A501" s="48">
        <v>46156</v>
      </c>
      <c r="B501" s="49" t="s">
        <v>634</v>
      </c>
      <c r="C501" s="49" t="s">
        <v>8</v>
      </c>
      <c r="D501" s="49">
        <v>5</v>
      </c>
      <c r="E501" s="49" t="s">
        <v>650</v>
      </c>
      <c r="F501" s="49" t="s">
        <v>653</v>
      </c>
      <c r="G501" s="49" t="s">
        <v>635</v>
      </c>
      <c r="H501" s="50"/>
    </row>
    <row r="502" spans="1:8" ht="15" customHeight="1" x14ac:dyDescent="0.3">
      <c r="A502" s="48">
        <v>46157</v>
      </c>
      <c r="B502" s="49" t="s">
        <v>636</v>
      </c>
      <c r="C502" s="49" t="s">
        <v>8</v>
      </c>
      <c r="D502" s="49">
        <v>5</v>
      </c>
      <c r="E502" s="49" t="s">
        <v>650</v>
      </c>
      <c r="F502" s="49" t="s">
        <v>653</v>
      </c>
      <c r="G502" s="49" t="s">
        <v>635</v>
      </c>
      <c r="H502" s="50"/>
    </row>
    <row r="503" spans="1:8" ht="15" customHeight="1" x14ac:dyDescent="0.3">
      <c r="A503" s="51">
        <v>46158</v>
      </c>
      <c r="B503" s="52" t="s">
        <v>637</v>
      </c>
      <c r="C503" s="52" t="s">
        <v>8</v>
      </c>
      <c r="D503" s="52">
        <v>5</v>
      </c>
      <c r="E503" s="52" t="s">
        <v>650</v>
      </c>
      <c r="F503" s="52" t="s">
        <v>653</v>
      </c>
      <c r="G503" s="52" t="s">
        <v>632</v>
      </c>
      <c r="H503" s="53" t="s">
        <v>638</v>
      </c>
    </row>
    <row r="504" spans="1:8" ht="15" customHeight="1" x14ac:dyDescent="0.3">
      <c r="A504" s="51">
        <v>46159</v>
      </c>
      <c r="B504" s="52" t="s">
        <v>639</v>
      </c>
      <c r="C504" s="52" t="s">
        <v>8</v>
      </c>
      <c r="D504" s="52">
        <v>5</v>
      </c>
      <c r="E504" s="52" t="s">
        <v>650</v>
      </c>
      <c r="F504" s="52" t="s">
        <v>653</v>
      </c>
      <c r="G504" s="52" t="s">
        <v>632</v>
      </c>
      <c r="H504" s="53" t="s">
        <v>638</v>
      </c>
    </row>
    <row r="505" spans="1:8" ht="15" customHeight="1" x14ac:dyDescent="0.3">
      <c r="A505" s="48">
        <v>46160</v>
      </c>
      <c r="B505" s="49" t="s">
        <v>640</v>
      </c>
      <c r="C505" s="49" t="s">
        <v>8</v>
      </c>
      <c r="D505" s="49">
        <v>5</v>
      </c>
      <c r="E505" s="49" t="s">
        <v>650</v>
      </c>
      <c r="F505" s="49" t="s">
        <v>653</v>
      </c>
      <c r="G505" s="49" t="s">
        <v>635</v>
      </c>
      <c r="H505" s="50"/>
    </row>
    <row r="506" spans="1:8" ht="15" customHeight="1" x14ac:dyDescent="0.3">
      <c r="A506" s="48">
        <v>46161</v>
      </c>
      <c r="B506" s="49" t="s">
        <v>641</v>
      </c>
      <c r="C506" s="49" t="s">
        <v>8</v>
      </c>
      <c r="D506" s="49">
        <v>5</v>
      </c>
      <c r="E506" s="49" t="s">
        <v>650</v>
      </c>
      <c r="F506" s="49" t="s">
        <v>653</v>
      </c>
      <c r="G506" s="49" t="s">
        <v>635</v>
      </c>
      <c r="H506" s="50"/>
    </row>
    <row r="507" spans="1:8" ht="15" customHeight="1" x14ac:dyDescent="0.3">
      <c r="A507" s="48">
        <v>46162</v>
      </c>
      <c r="B507" s="49" t="s">
        <v>628</v>
      </c>
      <c r="C507" s="49" t="s">
        <v>8</v>
      </c>
      <c r="D507" s="49">
        <v>5</v>
      </c>
      <c r="E507" s="49" t="s">
        <v>650</v>
      </c>
      <c r="F507" s="49" t="s">
        <v>653</v>
      </c>
      <c r="G507" s="49" t="s">
        <v>635</v>
      </c>
      <c r="H507" s="50"/>
    </row>
    <row r="508" spans="1:8" ht="15" customHeight="1" x14ac:dyDescent="0.3">
      <c r="A508" s="48">
        <v>46163</v>
      </c>
      <c r="B508" s="49" t="s">
        <v>634</v>
      </c>
      <c r="C508" s="49" t="s">
        <v>8</v>
      </c>
      <c r="D508" s="49">
        <v>5</v>
      </c>
      <c r="E508" s="49" t="s">
        <v>650</v>
      </c>
      <c r="F508" s="49" t="s">
        <v>653</v>
      </c>
      <c r="G508" s="49" t="s">
        <v>635</v>
      </c>
      <c r="H508" s="50"/>
    </row>
    <row r="509" spans="1:8" ht="15" customHeight="1" x14ac:dyDescent="0.3">
      <c r="A509" s="48">
        <v>46164</v>
      </c>
      <c r="B509" s="49" t="s">
        <v>636</v>
      </c>
      <c r="C509" s="49" t="s">
        <v>8</v>
      </c>
      <c r="D509" s="49">
        <v>5</v>
      </c>
      <c r="E509" s="49" t="s">
        <v>650</v>
      </c>
      <c r="F509" s="49" t="s">
        <v>653</v>
      </c>
      <c r="G509" s="49" t="s">
        <v>635</v>
      </c>
      <c r="H509" s="50"/>
    </row>
    <row r="510" spans="1:8" ht="15" customHeight="1" x14ac:dyDescent="0.3">
      <c r="A510" s="51">
        <v>46165</v>
      </c>
      <c r="B510" s="52" t="s">
        <v>637</v>
      </c>
      <c r="C510" s="52" t="s">
        <v>8</v>
      </c>
      <c r="D510" s="52">
        <v>5</v>
      </c>
      <c r="E510" s="52" t="s">
        <v>650</v>
      </c>
      <c r="F510" s="52" t="s">
        <v>653</v>
      </c>
      <c r="G510" s="52" t="s">
        <v>632</v>
      </c>
      <c r="H510" s="53" t="s">
        <v>638</v>
      </c>
    </row>
    <row r="511" spans="1:8" ht="15" customHeight="1" x14ac:dyDescent="0.3">
      <c r="A511" s="51">
        <v>46166</v>
      </c>
      <c r="B511" s="52" t="s">
        <v>639</v>
      </c>
      <c r="C511" s="52" t="s">
        <v>8</v>
      </c>
      <c r="D511" s="52">
        <v>5</v>
      </c>
      <c r="E511" s="52" t="s">
        <v>650</v>
      </c>
      <c r="F511" s="52" t="s">
        <v>653</v>
      </c>
      <c r="G511" s="52" t="s">
        <v>632</v>
      </c>
      <c r="H511" s="53" t="s">
        <v>638</v>
      </c>
    </row>
    <row r="512" spans="1:8" ht="15" customHeight="1" x14ac:dyDescent="0.3">
      <c r="A512" s="48">
        <v>46167</v>
      </c>
      <c r="B512" s="49" t="s">
        <v>640</v>
      </c>
      <c r="C512" s="49" t="s">
        <v>8</v>
      </c>
      <c r="D512" s="49">
        <v>5</v>
      </c>
      <c r="E512" s="49" t="s">
        <v>650</v>
      </c>
      <c r="F512" s="49" t="s">
        <v>653</v>
      </c>
      <c r="G512" s="49" t="s">
        <v>635</v>
      </c>
      <c r="H512" s="50"/>
    </row>
    <row r="513" spans="1:8" ht="15" customHeight="1" x14ac:dyDescent="0.3">
      <c r="A513" s="48">
        <v>46168</v>
      </c>
      <c r="B513" s="49" t="s">
        <v>641</v>
      </c>
      <c r="C513" s="49" t="s">
        <v>8</v>
      </c>
      <c r="D513" s="49">
        <v>5</v>
      </c>
      <c r="E513" s="49" t="s">
        <v>650</v>
      </c>
      <c r="F513" s="49" t="s">
        <v>653</v>
      </c>
      <c r="G513" s="49" t="s">
        <v>635</v>
      </c>
      <c r="H513" s="50"/>
    </row>
    <row r="514" spans="1:8" ht="15" customHeight="1" x14ac:dyDescent="0.3">
      <c r="A514" s="48">
        <v>46169</v>
      </c>
      <c r="B514" s="49" t="s">
        <v>628</v>
      </c>
      <c r="C514" s="49" t="s">
        <v>8</v>
      </c>
      <c r="D514" s="49">
        <v>5</v>
      </c>
      <c r="E514" s="49" t="s">
        <v>650</v>
      </c>
      <c r="F514" s="49" t="s">
        <v>653</v>
      </c>
      <c r="G514" s="49" t="s">
        <v>635</v>
      </c>
      <c r="H514" s="50"/>
    </row>
    <row r="515" spans="1:8" ht="15" customHeight="1" x14ac:dyDescent="0.3">
      <c r="A515" s="48">
        <v>46170</v>
      </c>
      <c r="B515" s="49" t="s">
        <v>634</v>
      </c>
      <c r="C515" s="49" t="s">
        <v>8</v>
      </c>
      <c r="D515" s="49">
        <v>5</v>
      </c>
      <c r="E515" s="49" t="s">
        <v>650</v>
      </c>
      <c r="F515" s="49" t="s">
        <v>653</v>
      </c>
      <c r="G515" s="49" t="s">
        <v>635</v>
      </c>
      <c r="H515" s="50"/>
    </row>
    <row r="516" spans="1:8" ht="15" customHeight="1" x14ac:dyDescent="0.3">
      <c r="A516" s="48">
        <v>46171</v>
      </c>
      <c r="B516" s="49" t="s">
        <v>636</v>
      </c>
      <c r="C516" s="49" t="s">
        <v>8</v>
      </c>
      <c r="D516" s="49">
        <v>5</v>
      </c>
      <c r="E516" s="49" t="s">
        <v>650</v>
      </c>
      <c r="F516" s="49" t="s">
        <v>653</v>
      </c>
      <c r="G516" s="49" t="s">
        <v>635</v>
      </c>
      <c r="H516" s="50"/>
    </row>
    <row r="517" spans="1:8" ht="15" customHeight="1" x14ac:dyDescent="0.3">
      <c r="A517" s="51">
        <v>46172</v>
      </c>
      <c r="B517" s="52" t="s">
        <v>637</v>
      </c>
      <c r="C517" s="52" t="s">
        <v>8</v>
      </c>
      <c r="D517" s="52">
        <v>5</v>
      </c>
      <c r="E517" s="52" t="s">
        <v>650</v>
      </c>
      <c r="F517" s="52" t="s">
        <v>653</v>
      </c>
      <c r="G517" s="52" t="s">
        <v>632</v>
      </c>
      <c r="H517" s="53" t="s">
        <v>638</v>
      </c>
    </row>
    <row r="518" spans="1:8" ht="15" customHeight="1" x14ac:dyDescent="0.3">
      <c r="A518" s="51">
        <v>46173</v>
      </c>
      <c r="B518" s="52" t="s">
        <v>639</v>
      </c>
      <c r="C518" s="52" t="s">
        <v>8</v>
      </c>
      <c r="D518" s="52">
        <v>5</v>
      </c>
      <c r="E518" s="52" t="s">
        <v>650</v>
      </c>
      <c r="F518" s="52" t="s">
        <v>653</v>
      </c>
      <c r="G518" s="52" t="s">
        <v>632</v>
      </c>
      <c r="H518" s="53" t="s">
        <v>638</v>
      </c>
    </row>
    <row r="519" spans="1:8" ht="15" customHeight="1" x14ac:dyDescent="0.3">
      <c r="A519" s="54">
        <v>46174</v>
      </c>
      <c r="B519" s="55" t="s">
        <v>640</v>
      </c>
      <c r="C519" s="55" t="s">
        <v>656</v>
      </c>
      <c r="D519" s="55">
        <v>6</v>
      </c>
      <c r="E519" s="55" t="s">
        <v>650</v>
      </c>
      <c r="F519" s="55" t="s">
        <v>657</v>
      </c>
      <c r="G519" s="55" t="s">
        <v>635</v>
      </c>
      <c r="H519" s="56"/>
    </row>
    <row r="520" spans="1:8" ht="15" customHeight="1" x14ac:dyDescent="0.3">
      <c r="A520" s="48">
        <v>46175</v>
      </c>
      <c r="B520" s="49" t="s">
        <v>641</v>
      </c>
      <c r="C520" s="49" t="s">
        <v>656</v>
      </c>
      <c r="D520" s="49">
        <v>6</v>
      </c>
      <c r="E520" s="49" t="s">
        <v>650</v>
      </c>
      <c r="F520" s="49" t="s">
        <v>657</v>
      </c>
      <c r="G520" s="49" t="s">
        <v>635</v>
      </c>
      <c r="H520" s="50"/>
    </row>
    <row r="521" spans="1:8" ht="15" customHeight="1" x14ac:dyDescent="0.3">
      <c r="A521" s="48">
        <v>46176</v>
      </c>
      <c r="B521" s="49" t="s">
        <v>628</v>
      </c>
      <c r="C521" s="49" t="s">
        <v>656</v>
      </c>
      <c r="D521" s="49">
        <v>6</v>
      </c>
      <c r="E521" s="49" t="s">
        <v>650</v>
      </c>
      <c r="F521" s="49" t="s">
        <v>657</v>
      </c>
      <c r="G521" s="49" t="s">
        <v>635</v>
      </c>
      <c r="H521" s="50"/>
    </row>
    <row r="522" spans="1:8" ht="15" customHeight="1" x14ac:dyDescent="0.3">
      <c r="A522" s="48">
        <v>46177</v>
      </c>
      <c r="B522" s="49" t="s">
        <v>634</v>
      </c>
      <c r="C522" s="49" t="s">
        <v>656</v>
      </c>
      <c r="D522" s="49">
        <v>6</v>
      </c>
      <c r="E522" s="49" t="s">
        <v>650</v>
      </c>
      <c r="F522" s="49" t="s">
        <v>657</v>
      </c>
      <c r="G522" s="49" t="s">
        <v>635</v>
      </c>
      <c r="H522" s="50"/>
    </row>
    <row r="523" spans="1:8" ht="15" customHeight="1" x14ac:dyDescent="0.3">
      <c r="A523" s="48">
        <v>46178</v>
      </c>
      <c r="B523" s="49" t="s">
        <v>636</v>
      </c>
      <c r="C523" s="49" t="s">
        <v>656</v>
      </c>
      <c r="D523" s="49">
        <v>6</v>
      </c>
      <c r="E523" s="49" t="s">
        <v>650</v>
      </c>
      <c r="F523" s="49" t="s">
        <v>657</v>
      </c>
      <c r="G523" s="49" t="s">
        <v>635</v>
      </c>
      <c r="H523" s="50"/>
    </row>
    <row r="524" spans="1:8" ht="15" customHeight="1" x14ac:dyDescent="0.3">
      <c r="A524" s="51">
        <v>46179</v>
      </c>
      <c r="B524" s="52" t="s">
        <v>637</v>
      </c>
      <c r="C524" s="52" t="s">
        <v>656</v>
      </c>
      <c r="D524" s="52">
        <v>6</v>
      </c>
      <c r="E524" s="52" t="s">
        <v>650</v>
      </c>
      <c r="F524" s="52" t="s">
        <v>657</v>
      </c>
      <c r="G524" s="52" t="s">
        <v>632</v>
      </c>
      <c r="H524" s="53" t="s">
        <v>638</v>
      </c>
    </row>
    <row r="525" spans="1:8" ht="15" customHeight="1" x14ac:dyDescent="0.3">
      <c r="A525" s="51">
        <v>46180</v>
      </c>
      <c r="B525" s="52" t="s">
        <v>639</v>
      </c>
      <c r="C525" s="52" t="s">
        <v>656</v>
      </c>
      <c r="D525" s="52">
        <v>6</v>
      </c>
      <c r="E525" s="52" t="s">
        <v>650</v>
      </c>
      <c r="F525" s="52" t="s">
        <v>657</v>
      </c>
      <c r="G525" s="52" t="s">
        <v>632</v>
      </c>
      <c r="H525" s="53" t="s">
        <v>638</v>
      </c>
    </row>
    <row r="526" spans="1:8" ht="15" customHeight="1" x14ac:dyDescent="0.3">
      <c r="A526" s="48">
        <v>46181</v>
      </c>
      <c r="B526" s="49" t="s">
        <v>640</v>
      </c>
      <c r="C526" s="49" t="s">
        <v>656</v>
      </c>
      <c r="D526" s="49">
        <v>6</v>
      </c>
      <c r="E526" s="49" t="s">
        <v>650</v>
      </c>
      <c r="F526" s="49" t="s">
        <v>657</v>
      </c>
      <c r="G526" s="49" t="s">
        <v>635</v>
      </c>
      <c r="H526" s="50"/>
    </row>
    <row r="527" spans="1:8" ht="15" customHeight="1" x14ac:dyDescent="0.3">
      <c r="A527" s="48">
        <v>46182</v>
      </c>
      <c r="B527" s="49" t="s">
        <v>641</v>
      </c>
      <c r="C527" s="49" t="s">
        <v>656</v>
      </c>
      <c r="D527" s="49">
        <v>6</v>
      </c>
      <c r="E527" s="49" t="s">
        <v>650</v>
      </c>
      <c r="F527" s="49" t="s">
        <v>657</v>
      </c>
      <c r="G527" s="49" t="s">
        <v>635</v>
      </c>
      <c r="H527" s="50"/>
    </row>
    <row r="528" spans="1:8" ht="15" customHeight="1" x14ac:dyDescent="0.3">
      <c r="A528" s="48">
        <v>46183</v>
      </c>
      <c r="B528" s="49" t="s">
        <v>628</v>
      </c>
      <c r="C528" s="49" t="s">
        <v>656</v>
      </c>
      <c r="D528" s="49">
        <v>6</v>
      </c>
      <c r="E528" s="49" t="s">
        <v>650</v>
      </c>
      <c r="F528" s="49" t="s">
        <v>657</v>
      </c>
      <c r="G528" s="49" t="s">
        <v>635</v>
      </c>
      <c r="H528" s="50"/>
    </row>
    <row r="529" spans="1:8" ht="15" customHeight="1" x14ac:dyDescent="0.3">
      <c r="A529" s="48">
        <v>46184</v>
      </c>
      <c r="B529" s="49" t="s">
        <v>634</v>
      </c>
      <c r="C529" s="49" t="s">
        <v>656</v>
      </c>
      <c r="D529" s="49">
        <v>6</v>
      </c>
      <c r="E529" s="49" t="s">
        <v>650</v>
      </c>
      <c r="F529" s="49" t="s">
        <v>657</v>
      </c>
      <c r="G529" s="49" t="s">
        <v>635</v>
      </c>
      <c r="H529" s="50"/>
    </row>
    <row r="530" spans="1:8" ht="15" customHeight="1" x14ac:dyDescent="0.3">
      <c r="A530" s="48">
        <v>46185</v>
      </c>
      <c r="B530" s="49" t="s">
        <v>636</v>
      </c>
      <c r="C530" s="49" t="s">
        <v>656</v>
      </c>
      <c r="D530" s="49">
        <v>6</v>
      </c>
      <c r="E530" s="49" t="s">
        <v>650</v>
      </c>
      <c r="F530" s="49" t="s">
        <v>657</v>
      </c>
      <c r="G530" s="49" t="s">
        <v>635</v>
      </c>
      <c r="H530" s="50"/>
    </row>
    <row r="531" spans="1:8" ht="15" customHeight="1" x14ac:dyDescent="0.3">
      <c r="A531" s="51">
        <v>46186</v>
      </c>
      <c r="B531" s="52" t="s">
        <v>637</v>
      </c>
      <c r="C531" s="52" t="s">
        <v>656</v>
      </c>
      <c r="D531" s="52">
        <v>6</v>
      </c>
      <c r="E531" s="52" t="s">
        <v>650</v>
      </c>
      <c r="F531" s="52" t="s">
        <v>657</v>
      </c>
      <c r="G531" s="52" t="s">
        <v>632</v>
      </c>
      <c r="H531" s="53" t="s">
        <v>638</v>
      </c>
    </row>
    <row r="532" spans="1:8" ht="15" customHeight="1" x14ac:dyDescent="0.3">
      <c r="A532" s="51">
        <v>46187</v>
      </c>
      <c r="B532" s="52" t="s">
        <v>639</v>
      </c>
      <c r="C532" s="52" t="s">
        <v>656</v>
      </c>
      <c r="D532" s="52">
        <v>6</v>
      </c>
      <c r="E532" s="52" t="s">
        <v>650</v>
      </c>
      <c r="F532" s="52" t="s">
        <v>657</v>
      </c>
      <c r="G532" s="52" t="s">
        <v>632</v>
      </c>
      <c r="H532" s="53" t="s">
        <v>638</v>
      </c>
    </row>
    <row r="533" spans="1:8" ht="15" customHeight="1" x14ac:dyDescent="0.3">
      <c r="A533" s="48">
        <v>46188</v>
      </c>
      <c r="B533" s="49" t="s">
        <v>640</v>
      </c>
      <c r="C533" s="49" t="s">
        <v>656</v>
      </c>
      <c r="D533" s="49">
        <v>6</v>
      </c>
      <c r="E533" s="49" t="s">
        <v>650</v>
      </c>
      <c r="F533" s="49" t="s">
        <v>657</v>
      </c>
      <c r="G533" s="49" t="s">
        <v>635</v>
      </c>
      <c r="H533" s="50"/>
    </row>
    <row r="534" spans="1:8" ht="15" customHeight="1" x14ac:dyDescent="0.3">
      <c r="A534" s="48">
        <v>46189</v>
      </c>
      <c r="B534" s="49" t="s">
        <v>641</v>
      </c>
      <c r="C534" s="49" t="s">
        <v>656</v>
      </c>
      <c r="D534" s="49">
        <v>6</v>
      </c>
      <c r="E534" s="49" t="s">
        <v>650</v>
      </c>
      <c r="F534" s="49" t="s">
        <v>657</v>
      </c>
      <c r="G534" s="49" t="s">
        <v>635</v>
      </c>
      <c r="H534" s="50"/>
    </row>
    <row r="535" spans="1:8" ht="15" customHeight="1" x14ac:dyDescent="0.3">
      <c r="A535" s="48">
        <v>46190</v>
      </c>
      <c r="B535" s="49" t="s">
        <v>628</v>
      </c>
      <c r="C535" s="49" t="s">
        <v>656</v>
      </c>
      <c r="D535" s="49">
        <v>6</v>
      </c>
      <c r="E535" s="49" t="s">
        <v>650</v>
      </c>
      <c r="F535" s="49" t="s">
        <v>657</v>
      </c>
      <c r="G535" s="49" t="s">
        <v>635</v>
      </c>
      <c r="H535" s="50"/>
    </row>
    <row r="536" spans="1:8" ht="15" customHeight="1" x14ac:dyDescent="0.3">
      <c r="A536" s="48">
        <v>46191</v>
      </c>
      <c r="B536" s="49" t="s">
        <v>634</v>
      </c>
      <c r="C536" s="49" t="s">
        <v>656</v>
      </c>
      <c r="D536" s="49">
        <v>6</v>
      </c>
      <c r="E536" s="49" t="s">
        <v>650</v>
      </c>
      <c r="F536" s="49" t="s">
        <v>657</v>
      </c>
      <c r="G536" s="49" t="s">
        <v>635</v>
      </c>
      <c r="H536" s="50"/>
    </row>
    <row r="537" spans="1:8" ht="15" customHeight="1" x14ac:dyDescent="0.3">
      <c r="A537" s="48">
        <v>46192</v>
      </c>
      <c r="B537" s="49" t="s">
        <v>636</v>
      </c>
      <c r="C537" s="49" t="s">
        <v>656</v>
      </c>
      <c r="D537" s="49">
        <v>6</v>
      </c>
      <c r="E537" s="49" t="s">
        <v>650</v>
      </c>
      <c r="F537" s="49" t="s">
        <v>657</v>
      </c>
      <c r="G537" s="49" t="s">
        <v>635</v>
      </c>
      <c r="H537" s="50"/>
    </row>
    <row r="538" spans="1:8" ht="15" customHeight="1" x14ac:dyDescent="0.3">
      <c r="A538" s="51">
        <v>46193</v>
      </c>
      <c r="B538" s="52" t="s">
        <v>637</v>
      </c>
      <c r="C538" s="52" t="s">
        <v>656</v>
      </c>
      <c r="D538" s="52">
        <v>6</v>
      </c>
      <c r="E538" s="52" t="s">
        <v>650</v>
      </c>
      <c r="F538" s="52" t="s">
        <v>657</v>
      </c>
      <c r="G538" s="52" t="s">
        <v>632</v>
      </c>
      <c r="H538" s="53" t="s">
        <v>638</v>
      </c>
    </row>
    <row r="539" spans="1:8" ht="15" customHeight="1" x14ac:dyDescent="0.3">
      <c r="A539" s="51">
        <v>46194</v>
      </c>
      <c r="B539" s="52" t="s">
        <v>639</v>
      </c>
      <c r="C539" s="52" t="s">
        <v>656</v>
      </c>
      <c r="D539" s="52">
        <v>6</v>
      </c>
      <c r="E539" s="52" t="s">
        <v>650</v>
      </c>
      <c r="F539" s="52" t="s">
        <v>657</v>
      </c>
      <c r="G539" s="52" t="s">
        <v>632</v>
      </c>
      <c r="H539" s="53" t="s">
        <v>638</v>
      </c>
    </row>
    <row r="540" spans="1:8" ht="15" customHeight="1" x14ac:dyDescent="0.3">
      <c r="A540" s="48">
        <v>46195</v>
      </c>
      <c r="B540" s="49" t="s">
        <v>640</v>
      </c>
      <c r="C540" s="49" t="s">
        <v>656</v>
      </c>
      <c r="D540" s="49">
        <v>6</v>
      </c>
      <c r="E540" s="49" t="s">
        <v>650</v>
      </c>
      <c r="F540" s="49" t="s">
        <v>657</v>
      </c>
      <c r="G540" s="49" t="s">
        <v>635</v>
      </c>
      <c r="H540" s="50"/>
    </row>
    <row r="541" spans="1:8" ht="15" customHeight="1" x14ac:dyDescent="0.3">
      <c r="A541" s="48">
        <v>46196</v>
      </c>
      <c r="B541" s="49" t="s">
        <v>641</v>
      </c>
      <c r="C541" s="49" t="s">
        <v>656</v>
      </c>
      <c r="D541" s="49">
        <v>6</v>
      </c>
      <c r="E541" s="49" t="s">
        <v>650</v>
      </c>
      <c r="F541" s="49" t="s">
        <v>657</v>
      </c>
      <c r="G541" s="49" t="s">
        <v>635</v>
      </c>
      <c r="H541" s="50"/>
    </row>
    <row r="542" spans="1:8" ht="15" customHeight="1" x14ac:dyDescent="0.3">
      <c r="A542" s="48">
        <v>46197</v>
      </c>
      <c r="B542" s="49" t="s">
        <v>628</v>
      </c>
      <c r="C542" s="49" t="s">
        <v>656</v>
      </c>
      <c r="D542" s="49">
        <v>6</v>
      </c>
      <c r="E542" s="49" t="s">
        <v>650</v>
      </c>
      <c r="F542" s="49" t="s">
        <v>657</v>
      </c>
      <c r="G542" s="49" t="s">
        <v>635</v>
      </c>
      <c r="H542" s="50"/>
    </row>
    <row r="543" spans="1:8" ht="15" customHeight="1" x14ac:dyDescent="0.3">
      <c r="A543" s="48">
        <v>46198</v>
      </c>
      <c r="B543" s="49" t="s">
        <v>634</v>
      </c>
      <c r="C543" s="49" t="s">
        <v>656</v>
      </c>
      <c r="D543" s="49">
        <v>6</v>
      </c>
      <c r="E543" s="49" t="s">
        <v>650</v>
      </c>
      <c r="F543" s="49" t="s">
        <v>657</v>
      </c>
      <c r="G543" s="49" t="s">
        <v>635</v>
      </c>
      <c r="H543" s="50"/>
    </row>
    <row r="544" spans="1:8" ht="15" customHeight="1" x14ac:dyDescent="0.3">
      <c r="A544" s="48">
        <v>46199</v>
      </c>
      <c r="B544" s="49" t="s">
        <v>636</v>
      </c>
      <c r="C544" s="49" t="s">
        <v>656</v>
      </c>
      <c r="D544" s="49">
        <v>6</v>
      </c>
      <c r="E544" s="49" t="s">
        <v>650</v>
      </c>
      <c r="F544" s="49" t="s">
        <v>657</v>
      </c>
      <c r="G544" s="49" t="s">
        <v>635</v>
      </c>
      <c r="H544" s="50"/>
    </row>
    <row r="545" spans="1:8" ht="15" customHeight="1" x14ac:dyDescent="0.3">
      <c r="A545" s="51">
        <v>46200</v>
      </c>
      <c r="B545" s="52" t="s">
        <v>637</v>
      </c>
      <c r="C545" s="52" t="s">
        <v>656</v>
      </c>
      <c r="D545" s="52">
        <v>6</v>
      </c>
      <c r="E545" s="52" t="s">
        <v>650</v>
      </c>
      <c r="F545" s="52" t="s">
        <v>657</v>
      </c>
      <c r="G545" s="52" t="s">
        <v>632</v>
      </c>
      <c r="H545" s="53" t="s">
        <v>638</v>
      </c>
    </row>
    <row r="546" spans="1:8" ht="15" customHeight="1" x14ac:dyDescent="0.3">
      <c r="A546" s="51">
        <v>46201</v>
      </c>
      <c r="B546" s="52" t="s">
        <v>639</v>
      </c>
      <c r="C546" s="52" t="s">
        <v>656</v>
      </c>
      <c r="D546" s="52">
        <v>6</v>
      </c>
      <c r="E546" s="52" t="s">
        <v>650</v>
      </c>
      <c r="F546" s="52" t="s">
        <v>657</v>
      </c>
      <c r="G546" s="52" t="s">
        <v>632</v>
      </c>
      <c r="H546" s="53" t="s">
        <v>638</v>
      </c>
    </row>
    <row r="547" spans="1:8" ht="15" customHeight="1" x14ac:dyDescent="0.3">
      <c r="A547" s="48">
        <v>46202</v>
      </c>
      <c r="B547" s="49" t="s">
        <v>640</v>
      </c>
      <c r="C547" s="49" t="s">
        <v>656</v>
      </c>
      <c r="D547" s="49">
        <v>6</v>
      </c>
      <c r="E547" s="49" t="s">
        <v>650</v>
      </c>
      <c r="F547" s="49" t="s">
        <v>657</v>
      </c>
      <c r="G547" s="49" t="s">
        <v>635</v>
      </c>
      <c r="H547" s="50"/>
    </row>
    <row r="548" spans="1:8" ht="15" customHeight="1" x14ac:dyDescent="0.3">
      <c r="A548" s="48">
        <v>46203</v>
      </c>
      <c r="B548" s="49" t="s">
        <v>641</v>
      </c>
      <c r="C548" s="49" t="s">
        <v>656</v>
      </c>
      <c r="D548" s="49">
        <v>6</v>
      </c>
      <c r="E548" s="49" t="s">
        <v>650</v>
      </c>
      <c r="F548" s="49" t="s">
        <v>657</v>
      </c>
      <c r="G548" s="49" t="s">
        <v>635</v>
      </c>
      <c r="H548" s="50"/>
    </row>
    <row r="549" spans="1:8" ht="15" customHeight="1" x14ac:dyDescent="0.3">
      <c r="A549" s="54">
        <v>46204</v>
      </c>
      <c r="B549" s="55" t="s">
        <v>628</v>
      </c>
      <c r="C549" s="55" t="s">
        <v>660</v>
      </c>
      <c r="D549" s="55">
        <v>7</v>
      </c>
      <c r="E549" s="55" t="s">
        <v>661</v>
      </c>
      <c r="F549" s="55" t="s">
        <v>662</v>
      </c>
      <c r="G549" s="55" t="s">
        <v>635</v>
      </c>
      <c r="H549" s="56"/>
    </row>
    <row r="550" spans="1:8" ht="15" customHeight="1" x14ac:dyDescent="0.3">
      <c r="A550" s="48">
        <v>46205</v>
      </c>
      <c r="B550" s="49" t="s">
        <v>634</v>
      </c>
      <c r="C550" s="49" t="s">
        <v>660</v>
      </c>
      <c r="D550" s="49">
        <v>7</v>
      </c>
      <c r="E550" s="49" t="s">
        <v>661</v>
      </c>
      <c r="F550" s="49" t="s">
        <v>662</v>
      </c>
      <c r="G550" s="49" t="s">
        <v>635</v>
      </c>
      <c r="H550" s="50"/>
    </row>
    <row r="551" spans="1:8" ht="15" customHeight="1" x14ac:dyDescent="0.3">
      <c r="A551" s="48">
        <v>46206</v>
      </c>
      <c r="B551" s="49" t="s">
        <v>636</v>
      </c>
      <c r="C551" s="49" t="s">
        <v>660</v>
      </c>
      <c r="D551" s="49">
        <v>7</v>
      </c>
      <c r="E551" s="49" t="s">
        <v>661</v>
      </c>
      <c r="F551" s="49" t="s">
        <v>662</v>
      </c>
      <c r="G551" s="49" t="s">
        <v>635</v>
      </c>
      <c r="H551" s="50"/>
    </row>
    <row r="552" spans="1:8" ht="15" customHeight="1" x14ac:dyDescent="0.3">
      <c r="A552" s="51">
        <v>46207</v>
      </c>
      <c r="B552" s="52" t="s">
        <v>637</v>
      </c>
      <c r="C552" s="52" t="s">
        <v>660</v>
      </c>
      <c r="D552" s="52">
        <v>7</v>
      </c>
      <c r="E552" s="52" t="s">
        <v>661</v>
      </c>
      <c r="F552" s="52" t="s">
        <v>662</v>
      </c>
      <c r="G552" s="52" t="s">
        <v>632</v>
      </c>
      <c r="H552" s="53" t="s">
        <v>638</v>
      </c>
    </row>
    <row r="553" spans="1:8" ht="15" customHeight="1" x14ac:dyDescent="0.3">
      <c r="A553" s="51">
        <v>46208</v>
      </c>
      <c r="B553" s="52" t="s">
        <v>639</v>
      </c>
      <c r="C553" s="52" t="s">
        <v>660</v>
      </c>
      <c r="D553" s="52">
        <v>7</v>
      </c>
      <c r="E553" s="52" t="s">
        <v>661</v>
      </c>
      <c r="F553" s="52" t="s">
        <v>662</v>
      </c>
      <c r="G553" s="52" t="s">
        <v>632</v>
      </c>
      <c r="H553" s="53" t="s">
        <v>638</v>
      </c>
    </row>
    <row r="554" spans="1:8" ht="15" customHeight="1" x14ac:dyDescent="0.3">
      <c r="A554" s="48">
        <v>46209</v>
      </c>
      <c r="B554" s="49" t="s">
        <v>640</v>
      </c>
      <c r="C554" s="49" t="s">
        <v>660</v>
      </c>
      <c r="D554" s="49">
        <v>7</v>
      </c>
      <c r="E554" s="49" t="s">
        <v>661</v>
      </c>
      <c r="F554" s="49" t="s">
        <v>662</v>
      </c>
      <c r="G554" s="49" t="s">
        <v>635</v>
      </c>
      <c r="H554" s="50"/>
    </row>
    <row r="555" spans="1:8" ht="15" customHeight="1" x14ac:dyDescent="0.3">
      <c r="A555" s="48">
        <v>46210</v>
      </c>
      <c r="B555" s="49" t="s">
        <v>641</v>
      </c>
      <c r="C555" s="49" t="s">
        <v>660</v>
      </c>
      <c r="D555" s="49">
        <v>7</v>
      </c>
      <c r="E555" s="49" t="s">
        <v>661</v>
      </c>
      <c r="F555" s="49" t="s">
        <v>662</v>
      </c>
      <c r="G555" s="49" t="s">
        <v>635</v>
      </c>
      <c r="H555" s="50"/>
    </row>
    <row r="556" spans="1:8" ht="15" customHeight="1" x14ac:dyDescent="0.3">
      <c r="A556" s="48">
        <v>46211</v>
      </c>
      <c r="B556" s="49" t="s">
        <v>628</v>
      </c>
      <c r="C556" s="49" t="s">
        <v>660</v>
      </c>
      <c r="D556" s="49">
        <v>7</v>
      </c>
      <c r="E556" s="49" t="s">
        <v>661</v>
      </c>
      <c r="F556" s="49" t="s">
        <v>662</v>
      </c>
      <c r="G556" s="49" t="s">
        <v>635</v>
      </c>
      <c r="H556" s="50"/>
    </row>
    <row r="557" spans="1:8" ht="15" customHeight="1" x14ac:dyDescent="0.3">
      <c r="A557" s="48">
        <v>46212</v>
      </c>
      <c r="B557" s="49" t="s">
        <v>634</v>
      </c>
      <c r="C557" s="49" t="s">
        <v>660</v>
      </c>
      <c r="D557" s="49">
        <v>7</v>
      </c>
      <c r="E557" s="49" t="s">
        <v>661</v>
      </c>
      <c r="F557" s="49" t="s">
        <v>662</v>
      </c>
      <c r="G557" s="49" t="s">
        <v>635</v>
      </c>
      <c r="H557" s="50"/>
    </row>
    <row r="558" spans="1:8" ht="15" customHeight="1" x14ac:dyDescent="0.3">
      <c r="A558" s="48">
        <v>46213</v>
      </c>
      <c r="B558" s="49" t="s">
        <v>636</v>
      </c>
      <c r="C558" s="49" t="s">
        <v>660</v>
      </c>
      <c r="D558" s="49">
        <v>7</v>
      </c>
      <c r="E558" s="49" t="s">
        <v>661</v>
      </c>
      <c r="F558" s="49" t="s">
        <v>662</v>
      </c>
      <c r="G558" s="49" t="s">
        <v>635</v>
      </c>
      <c r="H558" s="50"/>
    </row>
    <row r="559" spans="1:8" ht="15" customHeight="1" x14ac:dyDescent="0.3">
      <c r="A559" s="51">
        <v>46214</v>
      </c>
      <c r="B559" s="52" t="s">
        <v>637</v>
      </c>
      <c r="C559" s="52" t="s">
        <v>660</v>
      </c>
      <c r="D559" s="52">
        <v>7</v>
      </c>
      <c r="E559" s="52" t="s">
        <v>661</v>
      </c>
      <c r="F559" s="52" t="s">
        <v>662</v>
      </c>
      <c r="G559" s="52" t="s">
        <v>632</v>
      </c>
      <c r="H559" s="53" t="s">
        <v>638</v>
      </c>
    </row>
    <row r="560" spans="1:8" ht="15" customHeight="1" x14ac:dyDescent="0.3">
      <c r="A560" s="51">
        <v>46215</v>
      </c>
      <c r="B560" s="52" t="s">
        <v>639</v>
      </c>
      <c r="C560" s="52" t="s">
        <v>660</v>
      </c>
      <c r="D560" s="52">
        <v>7</v>
      </c>
      <c r="E560" s="52" t="s">
        <v>661</v>
      </c>
      <c r="F560" s="52" t="s">
        <v>662</v>
      </c>
      <c r="G560" s="52" t="s">
        <v>632</v>
      </c>
      <c r="H560" s="53" t="s">
        <v>638</v>
      </c>
    </row>
    <row r="561" spans="1:8" ht="15" customHeight="1" x14ac:dyDescent="0.3">
      <c r="A561" s="48">
        <v>46216</v>
      </c>
      <c r="B561" s="49" t="s">
        <v>640</v>
      </c>
      <c r="C561" s="49" t="s">
        <v>660</v>
      </c>
      <c r="D561" s="49">
        <v>7</v>
      </c>
      <c r="E561" s="49" t="s">
        <v>661</v>
      </c>
      <c r="F561" s="49" t="s">
        <v>662</v>
      </c>
      <c r="G561" s="49" t="s">
        <v>635</v>
      </c>
      <c r="H561" s="50"/>
    </row>
    <row r="562" spans="1:8" ht="15" customHeight="1" x14ac:dyDescent="0.3">
      <c r="A562" s="48">
        <v>46217</v>
      </c>
      <c r="B562" s="49" t="s">
        <v>641</v>
      </c>
      <c r="C562" s="49" t="s">
        <v>660</v>
      </c>
      <c r="D562" s="49">
        <v>7</v>
      </c>
      <c r="E562" s="49" t="s">
        <v>661</v>
      </c>
      <c r="F562" s="49" t="s">
        <v>662</v>
      </c>
      <c r="G562" s="49" t="s">
        <v>635</v>
      </c>
      <c r="H562" s="50"/>
    </row>
    <row r="563" spans="1:8" ht="15" customHeight="1" x14ac:dyDescent="0.3">
      <c r="A563" s="48">
        <v>46218</v>
      </c>
      <c r="B563" s="49" t="s">
        <v>628</v>
      </c>
      <c r="C563" s="49" t="s">
        <v>660</v>
      </c>
      <c r="D563" s="49">
        <v>7</v>
      </c>
      <c r="E563" s="49" t="s">
        <v>661</v>
      </c>
      <c r="F563" s="49" t="s">
        <v>662</v>
      </c>
      <c r="G563" s="49" t="s">
        <v>635</v>
      </c>
      <c r="H563" s="50"/>
    </row>
    <row r="564" spans="1:8" ht="15" customHeight="1" x14ac:dyDescent="0.3">
      <c r="A564" s="48">
        <v>46219</v>
      </c>
      <c r="B564" s="49" t="s">
        <v>634</v>
      </c>
      <c r="C564" s="49" t="s">
        <v>660</v>
      </c>
      <c r="D564" s="49">
        <v>7</v>
      </c>
      <c r="E564" s="49" t="s">
        <v>661</v>
      </c>
      <c r="F564" s="49" t="s">
        <v>662</v>
      </c>
      <c r="G564" s="49" t="s">
        <v>635</v>
      </c>
      <c r="H564" s="50"/>
    </row>
    <row r="565" spans="1:8" ht="15" customHeight="1" x14ac:dyDescent="0.3">
      <c r="A565" s="48">
        <v>46220</v>
      </c>
      <c r="B565" s="49" t="s">
        <v>636</v>
      </c>
      <c r="C565" s="49" t="s">
        <v>660</v>
      </c>
      <c r="D565" s="49">
        <v>7</v>
      </c>
      <c r="E565" s="49" t="s">
        <v>661</v>
      </c>
      <c r="F565" s="49" t="s">
        <v>662</v>
      </c>
      <c r="G565" s="49" t="s">
        <v>635</v>
      </c>
      <c r="H565" s="50"/>
    </row>
    <row r="566" spans="1:8" ht="15" customHeight="1" x14ac:dyDescent="0.3">
      <c r="A566" s="51">
        <v>46221</v>
      </c>
      <c r="B566" s="52" t="s">
        <v>637</v>
      </c>
      <c r="C566" s="52" t="s">
        <v>660</v>
      </c>
      <c r="D566" s="52">
        <v>7</v>
      </c>
      <c r="E566" s="52" t="s">
        <v>661</v>
      </c>
      <c r="F566" s="52" t="s">
        <v>662</v>
      </c>
      <c r="G566" s="52" t="s">
        <v>632</v>
      </c>
      <c r="H566" s="53" t="s">
        <v>638</v>
      </c>
    </row>
    <row r="567" spans="1:8" ht="15" customHeight="1" x14ac:dyDescent="0.3">
      <c r="A567" s="51">
        <v>46222</v>
      </c>
      <c r="B567" s="52" t="s">
        <v>639</v>
      </c>
      <c r="C567" s="52" t="s">
        <v>660</v>
      </c>
      <c r="D567" s="52">
        <v>7</v>
      </c>
      <c r="E567" s="52" t="s">
        <v>661</v>
      </c>
      <c r="F567" s="52" t="s">
        <v>662</v>
      </c>
      <c r="G567" s="52" t="s">
        <v>632</v>
      </c>
      <c r="H567" s="53" t="s">
        <v>638</v>
      </c>
    </row>
    <row r="568" spans="1:8" ht="15" customHeight="1" x14ac:dyDescent="0.3">
      <c r="A568" s="48">
        <v>46223</v>
      </c>
      <c r="B568" s="49" t="s">
        <v>640</v>
      </c>
      <c r="C568" s="49" t="s">
        <v>660</v>
      </c>
      <c r="D568" s="49">
        <v>7</v>
      </c>
      <c r="E568" s="49" t="s">
        <v>661</v>
      </c>
      <c r="F568" s="49" t="s">
        <v>662</v>
      </c>
      <c r="G568" s="49" t="s">
        <v>635</v>
      </c>
      <c r="H568" s="50"/>
    </row>
    <row r="569" spans="1:8" ht="15" customHeight="1" x14ac:dyDescent="0.3">
      <c r="A569" s="48">
        <v>46224</v>
      </c>
      <c r="B569" s="49" t="s">
        <v>641</v>
      </c>
      <c r="C569" s="49" t="s">
        <v>660</v>
      </c>
      <c r="D569" s="49">
        <v>7</v>
      </c>
      <c r="E569" s="49" t="s">
        <v>661</v>
      </c>
      <c r="F569" s="49" t="s">
        <v>662</v>
      </c>
      <c r="G569" s="49" t="s">
        <v>635</v>
      </c>
      <c r="H569" s="50"/>
    </row>
    <row r="570" spans="1:8" ht="15" customHeight="1" x14ac:dyDescent="0.3">
      <c r="A570" s="48">
        <v>46225</v>
      </c>
      <c r="B570" s="49" t="s">
        <v>628</v>
      </c>
      <c r="C570" s="49" t="s">
        <v>660</v>
      </c>
      <c r="D570" s="49">
        <v>7</v>
      </c>
      <c r="E570" s="49" t="s">
        <v>661</v>
      </c>
      <c r="F570" s="49" t="s">
        <v>662</v>
      </c>
      <c r="G570" s="49" t="s">
        <v>635</v>
      </c>
      <c r="H570" s="50"/>
    </row>
    <row r="571" spans="1:8" ht="15" customHeight="1" x14ac:dyDescent="0.3">
      <c r="A571" s="48">
        <v>46226</v>
      </c>
      <c r="B571" s="49" t="s">
        <v>634</v>
      </c>
      <c r="C571" s="49" t="s">
        <v>660</v>
      </c>
      <c r="D571" s="49">
        <v>7</v>
      </c>
      <c r="E571" s="49" t="s">
        <v>661</v>
      </c>
      <c r="F571" s="49" t="s">
        <v>662</v>
      </c>
      <c r="G571" s="49" t="s">
        <v>635</v>
      </c>
      <c r="H571" s="50"/>
    </row>
    <row r="572" spans="1:8" ht="15" customHeight="1" x14ac:dyDescent="0.3">
      <c r="A572" s="48">
        <v>46227</v>
      </c>
      <c r="B572" s="49" t="s">
        <v>636</v>
      </c>
      <c r="C572" s="49" t="s">
        <v>660</v>
      </c>
      <c r="D572" s="49">
        <v>7</v>
      </c>
      <c r="E572" s="49" t="s">
        <v>661</v>
      </c>
      <c r="F572" s="49" t="s">
        <v>662</v>
      </c>
      <c r="G572" s="49" t="s">
        <v>635</v>
      </c>
      <c r="H572" s="50"/>
    </row>
    <row r="573" spans="1:8" ht="15" customHeight="1" x14ac:dyDescent="0.3">
      <c r="A573" s="51">
        <v>46228</v>
      </c>
      <c r="B573" s="52" t="s">
        <v>637</v>
      </c>
      <c r="C573" s="52" t="s">
        <v>660</v>
      </c>
      <c r="D573" s="52">
        <v>7</v>
      </c>
      <c r="E573" s="52" t="s">
        <v>661</v>
      </c>
      <c r="F573" s="52" t="s">
        <v>662</v>
      </c>
      <c r="G573" s="52" t="s">
        <v>632</v>
      </c>
      <c r="H573" s="53" t="s">
        <v>638</v>
      </c>
    </row>
    <row r="574" spans="1:8" ht="15" customHeight="1" x14ac:dyDescent="0.3">
      <c r="A574" s="51">
        <v>46229</v>
      </c>
      <c r="B574" s="52" t="s">
        <v>639</v>
      </c>
      <c r="C574" s="52" t="s">
        <v>660</v>
      </c>
      <c r="D574" s="52">
        <v>7</v>
      </c>
      <c r="E574" s="52" t="s">
        <v>661</v>
      </c>
      <c r="F574" s="52" t="s">
        <v>662</v>
      </c>
      <c r="G574" s="52" t="s">
        <v>632</v>
      </c>
      <c r="H574" s="53" t="s">
        <v>638</v>
      </c>
    </row>
    <row r="575" spans="1:8" ht="15" customHeight="1" x14ac:dyDescent="0.3">
      <c r="A575" s="48">
        <v>46230</v>
      </c>
      <c r="B575" s="49" t="s">
        <v>640</v>
      </c>
      <c r="C575" s="49" t="s">
        <v>660</v>
      </c>
      <c r="D575" s="49">
        <v>7</v>
      </c>
      <c r="E575" s="49" t="s">
        <v>661</v>
      </c>
      <c r="F575" s="49" t="s">
        <v>662</v>
      </c>
      <c r="G575" s="49" t="s">
        <v>635</v>
      </c>
      <c r="H575" s="50"/>
    </row>
    <row r="576" spans="1:8" ht="15" customHeight="1" x14ac:dyDescent="0.3">
      <c r="A576" s="48">
        <v>46231</v>
      </c>
      <c r="B576" s="49" t="s">
        <v>641</v>
      </c>
      <c r="C576" s="49" t="s">
        <v>660</v>
      </c>
      <c r="D576" s="49">
        <v>7</v>
      </c>
      <c r="E576" s="49" t="s">
        <v>661</v>
      </c>
      <c r="F576" s="49" t="s">
        <v>662</v>
      </c>
      <c r="G576" s="49" t="s">
        <v>635</v>
      </c>
      <c r="H576" s="50"/>
    </row>
    <row r="577" spans="1:8" ht="15" customHeight="1" x14ac:dyDescent="0.3">
      <c r="A577" s="48">
        <v>46232</v>
      </c>
      <c r="B577" s="49" t="s">
        <v>628</v>
      </c>
      <c r="C577" s="49" t="s">
        <v>660</v>
      </c>
      <c r="D577" s="49">
        <v>7</v>
      </c>
      <c r="E577" s="49" t="s">
        <v>661</v>
      </c>
      <c r="F577" s="49" t="s">
        <v>662</v>
      </c>
      <c r="G577" s="49" t="s">
        <v>635</v>
      </c>
      <c r="H577" s="50"/>
    </row>
    <row r="578" spans="1:8" ht="15" customHeight="1" x14ac:dyDescent="0.3">
      <c r="A578" s="48">
        <v>46233</v>
      </c>
      <c r="B578" s="49" t="s">
        <v>634</v>
      </c>
      <c r="C578" s="49" t="s">
        <v>660</v>
      </c>
      <c r="D578" s="49">
        <v>7</v>
      </c>
      <c r="E578" s="49" t="s">
        <v>661</v>
      </c>
      <c r="F578" s="49" t="s">
        <v>662</v>
      </c>
      <c r="G578" s="49" t="s">
        <v>635</v>
      </c>
      <c r="H578" s="50"/>
    </row>
    <row r="579" spans="1:8" ht="15" customHeight="1" x14ac:dyDescent="0.3">
      <c r="A579" s="48">
        <v>46234</v>
      </c>
      <c r="B579" s="49" t="s">
        <v>636</v>
      </c>
      <c r="C579" s="49" t="s">
        <v>660</v>
      </c>
      <c r="D579" s="49">
        <v>7</v>
      </c>
      <c r="E579" s="49" t="s">
        <v>661</v>
      </c>
      <c r="F579" s="49" t="s">
        <v>662</v>
      </c>
      <c r="G579" s="49" t="s">
        <v>635</v>
      </c>
      <c r="H579" s="50"/>
    </row>
    <row r="580" spans="1:8" ht="15" customHeight="1" x14ac:dyDescent="0.3">
      <c r="A580" s="51">
        <v>46235</v>
      </c>
      <c r="B580" s="52" t="s">
        <v>637</v>
      </c>
      <c r="C580" s="52" t="s">
        <v>664</v>
      </c>
      <c r="D580" s="52">
        <v>8</v>
      </c>
      <c r="E580" s="52" t="s">
        <v>661</v>
      </c>
      <c r="F580" s="52" t="s">
        <v>665</v>
      </c>
      <c r="G580" s="52" t="s">
        <v>632</v>
      </c>
      <c r="H580" s="53" t="s">
        <v>638</v>
      </c>
    </row>
    <row r="581" spans="1:8" ht="15" customHeight="1" x14ac:dyDescent="0.3">
      <c r="A581" s="51">
        <v>46236</v>
      </c>
      <c r="B581" s="52" t="s">
        <v>639</v>
      </c>
      <c r="C581" s="52" t="s">
        <v>664</v>
      </c>
      <c r="D581" s="52">
        <v>8</v>
      </c>
      <c r="E581" s="52" t="s">
        <v>661</v>
      </c>
      <c r="F581" s="52" t="s">
        <v>665</v>
      </c>
      <c r="G581" s="52" t="s">
        <v>632</v>
      </c>
      <c r="H581" s="53" t="s">
        <v>638</v>
      </c>
    </row>
    <row r="582" spans="1:8" ht="15" customHeight="1" x14ac:dyDescent="0.3">
      <c r="A582" s="48">
        <v>46237</v>
      </c>
      <c r="B582" s="49" t="s">
        <v>640</v>
      </c>
      <c r="C582" s="49" t="s">
        <v>664</v>
      </c>
      <c r="D582" s="49">
        <v>8</v>
      </c>
      <c r="E582" s="49" t="s">
        <v>661</v>
      </c>
      <c r="F582" s="49" t="s">
        <v>665</v>
      </c>
      <c r="G582" s="49" t="s">
        <v>635</v>
      </c>
      <c r="H582" s="50"/>
    </row>
    <row r="583" spans="1:8" ht="15" customHeight="1" x14ac:dyDescent="0.3">
      <c r="A583" s="48">
        <v>46238</v>
      </c>
      <c r="B583" s="49" t="s">
        <v>641</v>
      </c>
      <c r="C583" s="49" t="s">
        <v>664</v>
      </c>
      <c r="D583" s="49">
        <v>8</v>
      </c>
      <c r="E583" s="49" t="s">
        <v>661</v>
      </c>
      <c r="F583" s="49" t="s">
        <v>665</v>
      </c>
      <c r="G583" s="49" t="s">
        <v>635</v>
      </c>
      <c r="H583" s="50"/>
    </row>
    <row r="584" spans="1:8" ht="15" customHeight="1" x14ac:dyDescent="0.3">
      <c r="A584" s="48">
        <v>46239</v>
      </c>
      <c r="B584" s="49" t="s">
        <v>628</v>
      </c>
      <c r="C584" s="49" t="s">
        <v>664</v>
      </c>
      <c r="D584" s="49">
        <v>8</v>
      </c>
      <c r="E584" s="49" t="s">
        <v>661</v>
      </c>
      <c r="F584" s="49" t="s">
        <v>665</v>
      </c>
      <c r="G584" s="49" t="s">
        <v>635</v>
      </c>
      <c r="H584" s="50"/>
    </row>
    <row r="585" spans="1:8" ht="15" customHeight="1" x14ac:dyDescent="0.3">
      <c r="A585" s="48">
        <v>46240</v>
      </c>
      <c r="B585" s="49" t="s">
        <v>634</v>
      </c>
      <c r="C585" s="49" t="s">
        <v>664</v>
      </c>
      <c r="D585" s="49">
        <v>8</v>
      </c>
      <c r="E585" s="49" t="s">
        <v>661</v>
      </c>
      <c r="F585" s="49" t="s">
        <v>665</v>
      </c>
      <c r="G585" s="49" t="s">
        <v>635</v>
      </c>
      <c r="H585" s="50"/>
    </row>
    <row r="586" spans="1:8" ht="15" customHeight="1" x14ac:dyDescent="0.3">
      <c r="A586" s="48">
        <v>46241</v>
      </c>
      <c r="B586" s="49" t="s">
        <v>636</v>
      </c>
      <c r="C586" s="49" t="s">
        <v>664</v>
      </c>
      <c r="D586" s="49">
        <v>8</v>
      </c>
      <c r="E586" s="49" t="s">
        <v>661</v>
      </c>
      <c r="F586" s="49" t="s">
        <v>665</v>
      </c>
      <c r="G586" s="49" t="s">
        <v>635</v>
      </c>
      <c r="H586" s="50"/>
    </row>
    <row r="587" spans="1:8" ht="15" customHeight="1" x14ac:dyDescent="0.3">
      <c r="A587" s="51">
        <v>46242</v>
      </c>
      <c r="B587" s="52" t="s">
        <v>637</v>
      </c>
      <c r="C587" s="52" t="s">
        <v>664</v>
      </c>
      <c r="D587" s="52">
        <v>8</v>
      </c>
      <c r="E587" s="52" t="s">
        <v>661</v>
      </c>
      <c r="F587" s="52" t="s">
        <v>665</v>
      </c>
      <c r="G587" s="52" t="s">
        <v>632</v>
      </c>
      <c r="H587" s="53" t="s">
        <v>638</v>
      </c>
    </row>
    <row r="588" spans="1:8" ht="15" customHeight="1" x14ac:dyDescent="0.3">
      <c r="A588" s="51">
        <v>46243</v>
      </c>
      <c r="B588" s="52" t="s">
        <v>639</v>
      </c>
      <c r="C588" s="52" t="s">
        <v>664</v>
      </c>
      <c r="D588" s="52">
        <v>8</v>
      </c>
      <c r="E588" s="52" t="s">
        <v>661</v>
      </c>
      <c r="F588" s="52" t="s">
        <v>665</v>
      </c>
      <c r="G588" s="52" t="s">
        <v>632</v>
      </c>
      <c r="H588" s="53" t="s">
        <v>638</v>
      </c>
    </row>
    <row r="589" spans="1:8" ht="15" customHeight="1" x14ac:dyDescent="0.3">
      <c r="A589" s="48">
        <v>46244</v>
      </c>
      <c r="B589" s="49" t="s">
        <v>640</v>
      </c>
      <c r="C589" s="49" t="s">
        <v>664</v>
      </c>
      <c r="D589" s="49">
        <v>8</v>
      </c>
      <c r="E589" s="49" t="s">
        <v>661</v>
      </c>
      <c r="F589" s="49" t="s">
        <v>665</v>
      </c>
      <c r="G589" s="49" t="s">
        <v>635</v>
      </c>
      <c r="H589" s="50"/>
    </row>
    <row r="590" spans="1:8" ht="15" customHeight="1" x14ac:dyDescent="0.3">
      <c r="A590" s="48">
        <v>46245</v>
      </c>
      <c r="B590" s="49" t="s">
        <v>641</v>
      </c>
      <c r="C590" s="49" t="s">
        <v>664</v>
      </c>
      <c r="D590" s="49">
        <v>8</v>
      </c>
      <c r="E590" s="49" t="s">
        <v>661</v>
      </c>
      <c r="F590" s="49" t="s">
        <v>665</v>
      </c>
      <c r="G590" s="49" t="s">
        <v>635</v>
      </c>
      <c r="H590" s="50"/>
    </row>
    <row r="591" spans="1:8" ht="15" customHeight="1" x14ac:dyDescent="0.3">
      <c r="A591" s="48">
        <v>46246</v>
      </c>
      <c r="B591" s="49" t="s">
        <v>628</v>
      </c>
      <c r="C591" s="49" t="s">
        <v>664</v>
      </c>
      <c r="D591" s="49">
        <v>8</v>
      </c>
      <c r="E591" s="49" t="s">
        <v>661</v>
      </c>
      <c r="F591" s="49" t="s">
        <v>665</v>
      </c>
      <c r="G591" s="49" t="s">
        <v>635</v>
      </c>
      <c r="H591" s="50"/>
    </row>
    <row r="592" spans="1:8" ht="15" customHeight="1" x14ac:dyDescent="0.3">
      <c r="A592" s="48">
        <v>46247</v>
      </c>
      <c r="B592" s="49" t="s">
        <v>634</v>
      </c>
      <c r="C592" s="49" t="s">
        <v>664</v>
      </c>
      <c r="D592" s="49">
        <v>8</v>
      </c>
      <c r="E592" s="49" t="s">
        <v>661</v>
      </c>
      <c r="F592" s="49" t="s">
        <v>665</v>
      </c>
      <c r="G592" s="49" t="s">
        <v>635</v>
      </c>
      <c r="H592" s="50"/>
    </row>
    <row r="593" spans="1:8" ht="15" customHeight="1" x14ac:dyDescent="0.3">
      <c r="A593" s="48">
        <v>46248</v>
      </c>
      <c r="B593" s="49" t="s">
        <v>636</v>
      </c>
      <c r="C593" s="49" t="s">
        <v>664</v>
      </c>
      <c r="D593" s="49">
        <v>8</v>
      </c>
      <c r="E593" s="49" t="s">
        <v>661</v>
      </c>
      <c r="F593" s="49" t="s">
        <v>665</v>
      </c>
      <c r="G593" s="49" t="s">
        <v>635</v>
      </c>
      <c r="H593" s="50"/>
    </row>
    <row r="594" spans="1:8" ht="15" customHeight="1" x14ac:dyDescent="0.3">
      <c r="A594" s="51">
        <v>46249</v>
      </c>
      <c r="B594" s="52" t="s">
        <v>637</v>
      </c>
      <c r="C594" s="52" t="s">
        <v>664</v>
      </c>
      <c r="D594" s="52">
        <v>8</v>
      </c>
      <c r="E594" s="52" t="s">
        <v>661</v>
      </c>
      <c r="F594" s="52" t="s">
        <v>665</v>
      </c>
      <c r="G594" s="52" t="s">
        <v>632</v>
      </c>
      <c r="H594" s="53" t="s">
        <v>638</v>
      </c>
    </row>
    <row r="595" spans="1:8" ht="15" customHeight="1" x14ac:dyDescent="0.3">
      <c r="A595" s="51">
        <v>46250</v>
      </c>
      <c r="B595" s="52" t="s">
        <v>639</v>
      </c>
      <c r="C595" s="52" t="s">
        <v>664</v>
      </c>
      <c r="D595" s="52">
        <v>8</v>
      </c>
      <c r="E595" s="52" t="s">
        <v>661</v>
      </c>
      <c r="F595" s="52" t="s">
        <v>665</v>
      </c>
      <c r="G595" s="52" t="s">
        <v>632</v>
      </c>
      <c r="H595" s="53" t="s">
        <v>638</v>
      </c>
    </row>
    <row r="596" spans="1:8" ht="15" customHeight="1" x14ac:dyDescent="0.3">
      <c r="A596" s="48">
        <v>46251</v>
      </c>
      <c r="B596" s="49" t="s">
        <v>640</v>
      </c>
      <c r="C596" s="49" t="s">
        <v>664</v>
      </c>
      <c r="D596" s="49">
        <v>8</v>
      </c>
      <c r="E596" s="49" t="s">
        <v>661</v>
      </c>
      <c r="F596" s="49" t="s">
        <v>665</v>
      </c>
      <c r="G596" s="49" t="s">
        <v>635</v>
      </c>
      <c r="H596" s="50"/>
    </row>
    <row r="597" spans="1:8" ht="15" customHeight="1" x14ac:dyDescent="0.3">
      <c r="A597" s="48">
        <v>46252</v>
      </c>
      <c r="B597" s="49" t="s">
        <v>641</v>
      </c>
      <c r="C597" s="49" t="s">
        <v>664</v>
      </c>
      <c r="D597" s="49">
        <v>8</v>
      </c>
      <c r="E597" s="49" t="s">
        <v>661</v>
      </c>
      <c r="F597" s="49" t="s">
        <v>665</v>
      </c>
      <c r="G597" s="49" t="s">
        <v>635</v>
      </c>
      <c r="H597" s="50"/>
    </row>
    <row r="598" spans="1:8" ht="15" customHeight="1" x14ac:dyDescent="0.3">
      <c r="A598" s="48">
        <v>46253</v>
      </c>
      <c r="B598" s="49" t="s">
        <v>628</v>
      </c>
      <c r="C598" s="49" t="s">
        <v>664</v>
      </c>
      <c r="D598" s="49">
        <v>8</v>
      </c>
      <c r="E598" s="49" t="s">
        <v>661</v>
      </c>
      <c r="F598" s="49" t="s">
        <v>665</v>
      </c>
      <c r="G598" s="49" t="s">
        <v>635</v>
      </c>
      <c r="H598" s="50"/>
    </row>
    <row r="599" spans="1:8" ht="15" customHeight="1" x14ac:dyDescent="0.3">
      <c r="A599" s="48">
        <v>46254</v>
      </c>
      <c r="B599" s="49" t="s">
        <v>634</v>
      </c>
      <c r="C599" s="49" t="s">
        <v>664</v>
      </c>
      <c r="D599" s="49">
        <v>8</v>
      </c>
      <c r="E599" s="49" t="s">
        <v>661</v>
      </c>
      <c r="F599" s="49" t="s">
        <v>665</v>
      </c>
      <c r="G599" s="49" t="s">
        <v>635</v>
      </c>
      <c r="H599" s="50"/>
    </row>
    <row r="600" spans="1:8" ht="15" customHeight="1" x14ac:dyDescent="0.3">
      <c r="A600" s="48">
        <v>46255</v>
      </c>
      <c r="B600" s="49" t="s">
        <v>636</v>
      </c>
      <c r="C600" s="49" t="s">
        <v>664</v>
      </c>
      <c r="D600" s="49">
        <v>8</v>
      </c>
      <c r="E600" s="49" t="s">
        <v>661</v>
      </c>
      <c r="F600" s="49" t="s">
        <v>665</v>
      </c>
      <c r="G600" s="49" t="s">
        <v>635</v>
      </c>
      <c r="H600" s="50"/>
    </row>
    <row r="601" spans="1:8" ht="15" customHeight="1" x14ac:dyDescent="0.3">
      <c r="A601" s="51">
        <v>46256</v>
      </c>
      <c r="B601" s="52" t="s">
        <v>637</v>
      </c>
      <c r="C601" s="52" t="s">
        <v>664</v>
      </c>
      <c r="D601" s="52">
        <v>8</v>
      </c>
      <c r="E601" s="52" t="s">
        <v>661</v>
      </c>
      <c r="F601" s="52" t="s">
        <v>665</v>
      </c>
      <c r="G601" s="52" t="s">
        <v>632</v>
      </c>
      <c r="H601" s="53" t="s">
        <v>638</v>
      </c>
    </row>
    <row r="602" spans="1:8" ht="15" customHeight="1" x14ac:dyDescent="0.3">
      <c r="A602" s="51">
        <v>46257</v>
      </c>
      <c r="B602" s="52" t="s">
        <v>639</v>
      </c>
      <c r="C602" s="52" t="s">
        <v>664</v>
      </c>
      <c r="D602" s="52">
        <v>8</v>
      </c>
      <c r="E602" s="52" t="s">
        <v>661</v>
      </c>
      <c r="F602" s="52" t="s">
        <v>665</v>
      </c>
      <c r="G602" s="52" t="s">
        <v>632</v>
      </c>
      <c r="H602" s="53" t="s">
        <v>638</v>
      </c>
    </row>
    <row r="603" spans="1:8" ht="15" customHeight="1" x14ac:dyDescent="0.3">
      <c r="A603" s="48">
        <v>46258</v>
      </c>
      <c r="B603" s="49" t="s">
        <v>640</v>
      </c>
      <c r="C603" s="49" t="s">
        <v>664</v>
      </c>
      <c r="D603" s="49">
        <v>8</v>
      </c>
      <c r="E603" s="49" t="s">
        <v>661</v>
      </c>
      <c r="F603" s="49" t="s">
        <v>665</v>
      </c>
      <c r="G603" s="49" t="s">
        <v>635</v>
      </c>
      <c r="H603" s="50"/>
    </row>
    <row r="604" spans="1:8" ht="15" customHeight="1" x14ac:dyDescent="0.3">
      <c r="A604" s="48">
        <v>46259</v>
      </c>
      <c r="B604" s="49" t="s">
        <v>641</v>
      </c>
      <c r="C604" s="49" t="s">
        <v>664</v>
      </c>
      <c r="D604" s="49">
        <v>8</v>
      </c>
      <c r="E604" s="49" t="s">
        <v>661</v>
      </c>
      <c r="F604" s="49" t="s">
        <v>665</v>
      </c>
      <c r="G604" s="49" t="s">
        <v>635</v>
      </c>
      <c r="H604" s="50"/>
    </row>
    <row r="605" spans="1:8" ht="15" customHeight="1" x14ac:dyDescent="0.3">
      <c r="A605" s="48">
        <v>46260</v>
      </c>
      <c r="B605" s="49" t="s">
        <v>628</v>
      </c>
      <c r="C605" s="49" t="s">
        <v>664</v>
      </c>
      <c r="D605" s="49">
        <v>8</v>
      </c>
      <c r="E605" s="49" t="s">
        <v>661</v>
      </c>
      <c r="F605" s="49" t="s">
        <v>665</v>
      </c>
      <c r="G605" s="49" t="s">
        <v>635</v>
      </c>
      <c r="H605" s="50"/>
    </row>
    <row r="606" spans="1:8" ht="15" customHeight="1" x14ac:dyDescent="0.3">
      <c r="A606" s="48">
        <v>46261</v>
      </c>
      <c r="B606" s="49" t="s">
        <v>634</v>
      </c>
      <c r="C606" s="49" t="s">
        <v>664</v>
      </c>
      <c r="D606" s="49">
        <v>8</v>
      </c>
      <c r="E606" s="49" t="s">
        <v>661</v>
      </c>
      <c r="F606" s="49" t="s">
        <v>665</v>
      </c>
      <c r="G606" s="49" t="s">
        <v>635</v>
      </c>
      <c r="H606" s="50"/>
    </row>
    <row r="607" spans="1:8" ht="15" customHeight="1" x14ac:dyDescent="0.3">
      <c r="A607" s="48">
        <v>46262</v>
      </c>
      <c r="B607" s="49" t="s">
        <v>636</v>
      </c>
      <c r="C607" s="49" t="s">
        <v>664</v>
      </c>
      <c r="D607" s="49">
        <v>8</v>
      </c>
      <c r="E607" s="49" t="s">
        <v>661</v>
      </c>
      <c r="F607" s="49" t="s">
        <v>665</v>
      </c>
      <c r="G607" s="49" t="s">
        <v>635</v>
      </c>
      <c r="H607" s="50"/>
    </row>
    <row r="608" spans="1:8" ht="15" customHeight="1" x14ac:dyDescent="0.3">
      <c r="A608" s="51">
        <v>46263</v>
      </c>
      <c r="B608" s="52" t="s">
        <v>637</v>
      </c>
      <c r="C608" s="52" t="s">
        <v>664</v>
      </c>
      <c r="D608" s="52">
        <v>8</v>
      </c>
      <c r="E608" s="52" t="s">
        <v>661</v>
      </c>
      <c r="F608" s="52" t="s">
        <v>665</v>
      </c>
      <c r="G608" s="52" t="s">
        <v>632</v>
      </c>
      <c r="H608" s="53" t="s">
        <v>638</v>
      </c>
    </row>
    <row r="609" spans="1:8" ht="15" customHeight="1" x14ac:dyDescent="0.3">
      <c r="A609" s="51">
        <v>46264</v>
      </c>
      <c r="B609" s="52" t="s">
        <v>639</v>
      </c>
      <c r="C609" s="52" t="s">
        <v>664</v>
      </c>
      <c r="D609" s="52">
        <v>8</v>
      </c>
      <c r="E609" s="52" t="s">
        <v>661</v>
      </c>
      <c r="F609" s="52" t="s">
        <v>665</v>
      </c>
      <c r="G609" s="52" t="s">
        <v>632</v>
      </c>
      <c r="H609" s="53" t="s">
        <v>638</v>
      </c>
    </row>
    <row r="610" spans="1:8" ht="15" customHeight="1" x14ac:dyDescent="0.3">
      <c r="A610" s="48">
        <v>46265</v>
      </c>
      <c r="B610" s="49" t="s">
        <v>640</v>
      </c>
      <c r="C610" s="49" t="s">
        <v>664</v>
      </c>
      <c r="D610" s="49">
        <v>8</v>
      </c>
      <c r="E610" s="49" t="s">
        <v>661</v>
      </c>
      <c r="F610" s="49" t="s">
        <v>665</v>
      </c>
      <c r="G610" s="49" t="s">
        <v>635</v>
      </c>
      <c r="H610" s="50"/>
    </row>
    <row r="611" spans="1:8" ht="15" customHeight="1" x14ac:dyDescent="0.3">
      <c r="A611" s="54">
        <v>46266</v>
      </c>
      <c r="B611" s="55" t="s">
        <v>641</v>
      </c>
      <c r="C611" s="55" t="s">
        <v>667</v>
      </c>
      <c r="D611" s="55">
        <v>9</v>
      </c>
      <c r="E611" s="55" t="s">
        <v>661</v>
      </c>
      <c r="F611" s="55" t="s">
        <v>668</v>
      </c>
      <c r="G611" s="55" t="s">
        <v>635</v>
      </c>
      <c r="H611" s="56"/>
    </row>
    <row r="612" spans="1:8" ht="15" customHeight="1" x14ac:dyDescent="0.3">
      <c r="A612" s="48">
        <v>46267</v>
      </c>
      <c r="B612" s="49" t="s">
        <v>628</v>
      </c>
      <c r="C612" s="49" t="s">
        <v>667</v>
      </c>
      <c r="D612" s="49">
        <v>9</v>
      </c>
      <c r="E612" s="49" t="s">
        <v>661</v>
      </c>
      <c r="F612" s="49" t="s">
        <v>668</v>
      </c>
      <c r="G612" s="49" t="s">
        <v>635</v>
      </c>
      <c r="H612" s="50"/>
    </row>
    <row r="613" spans="1:8" ht="15" customHeight="1" x14ac:dyDescent="0.3">
      <c r="A613" s="48">
        <v>46268</v>
      </c>
      <c r="B613" s="49" t="s">
        <v>634</v>
      </c>
      <c r="C613" s="49" t="s">
        <v>667</v>
      </c>
      <c r="D613" s="49">
        <v>9</v>
      </c>
      <c r="E613" s="49" t="s">
        <v>661</v>
      </c>
      <c r="F613" s="49" t="s">
        <v>668</v>
      </c>
      <c r="G613" s="49" t="s">
        <v>635</v>
      </c>
      <c r="H613" s="50"/>
    </row>
    <row r="614" spans="1:8" ht="15" customHeight="1" x14ac:dyDescent="0.3">
      <c r="A614" s="48">
        <v>46269</v>
      </c>
      <c r="B614" s="49" t="s">
        <v>636</v>
      </c>
      <c r="C614" s="49" t="s">
        <v>667</v>
      </c>
      <c r="D614" s="49">
        <v>9</v>
      </c>
      <c r="E614" s="49" t="s">
        <v>661</v>
      </c>
      <c r="F614" s="49" t="s">
        <v>668</v>
      </c>
      <c r="G614" s="49" t="s">
        <v>635</v>
      </c>
      <c r="H614" s="50"/>
    </row>
    <row r="615" spans="1:8" ht="15" customHeight="1" x14ac:dyDescent="0.3">
      <c r="A615" s="51">
        <v>46270</v>
      </c>
      <c r="B615" s="52" t="s">
        <v>637</v>
      </c>
      <c r="C615" s="52" t="s">
        <v>667</v>
      </c>
      <c r="D615" s="52">
        <v>9</v>
      </c>
      <c r="E615" s="52" t="s">
        <v>661</v>
      </c>
      <c r="F615" s="52" t="s">
        <v>668</v>
      </c>
      <c r="G615" s="52" t="s">
        <v>632</v>
      </c>
      <c r="H615" s="53" t="s">
        <v>638</v>
      </c>
    </row>
    <row r="616" spans="1:8" ht="15" customHeight="1" x14ac:dyDescent="0.3">
      <c r="A616" s="51">
        <v>46271</v>
      </c>
      <c r="B616" s="52" t="s">
        <v>639</v>
      </c>
      <c r="C616" s="52" t="s">
        <v>667</v>
      </c>
      <c r="D616" s="52">
        <v>9</v>
      </c>
      <c r="E616" s="52" t="s">
        <v>661</v>
      </c>
      <c r="F616" s="52" t="s">
        <v>668</v>
      </c>
      <c r="G616" s="52" t="s">
        <v>632</v>
      </c>
      <c r="H616" s="53" t="s">
        <v>638</v>
      </c>
    </row>
    <row r="617" spans="1:8" ht="15" customHeight="1" x14ac:dyDescent="0.3">
      <c r="A617" s="48">
        <v>46272</v>
      </c>
      <c r="B617" s="49" t="s">
        <v>640</v>
      </c>
      <c r="C617" s="49" t="s">
        <v>667</v>
      </c>
      <c r="D617" s="49">
        <v>9</v>
      </c>
      <c r="E617" s="49" t="s">
        <v>661</v>
      </c>
      <c r="F617" s="49" t="s">
        <v>668</v>
      </c>
      <c r="G617" s="49" t="s">
        <v>635</v>
      </c>
      <c r="H617" s="50"/>
    </row>
    <row r="618" spans="1:8" ht="15" customHeight="1" x14ac:dyDescent="0.3">
      <c r="A618" s="48">
        <v>46273</v>
      </c>
      <c r="B618" s="49" t="s">
        <v>641</v>
      </c>
      <c r="C618" s="49" t="s">
        <v>667</v>
      </c>
      <c r="D618" s="49">
        <v>9</v>
      </c>
      <c r="E618" s="49" t="s">
        <v>661</v>
      </c>
      <c r="F618" s="49" t="s">
        <v>668</v>
      </c>
      <c r="G618" s="49" t="s">
        <v>635</v>
      </c>
      <c r="H618" s="50"/>
    </row>
    <row r="619" spans="1:8" ht="15" customHeight="1" x14ac:dyDescent="0.3">
      <c r="A619" s="48">
        <v>46274</v>
      </c>
      <c r="B619" s="49" t="s">
        <v>628</v>
      </c>
      <c r="C619" s="49" t="s">
        <v>667</v>
      </c>
      <c r="D619" s="49">
        <v>9</v>
      </c>
      <c r="E619" s="49" t="s">
        <v>661</v>
      </c>
      <c r="F619" s="49" t="s">
        <v>668</v>
      </c>
      <c r="G619" s="49" t="s">
        <v>635</v>
      </c>
      <c r="H619" s="50"/>
    </row>
    <row r="620" spans="1:8" ht="15" customHeight="1" x14ac:dyDescent="0.3">
      <c r="A620" s="48">
        <v>46275</v>
      </c>
      <c r="B620" s="49" t="s">
        <v>634</v>
      </c>
      <c r="C620" s="49" t="s">
        <v>667</v>
      </c>
      <c r="D620" s="49">
        <v>9</v>
      </c>
      <c r="E620" s="49" t="s">
        <v>661</v>
      </c>
      <c r="F620" s="49" t="s">
        <v>668</v>
      </c>
      <c r="G620" s="49" t="s">
        <v>635</v>
      </c>
      <c r="H620" s="50"/>
    </row>
    <row r="621" spans="1:8" ht="15" customHeight="1" x14ac:dyDescent="0.3">
      <c r="A621" s="48">
        <v>46276</v>
      </c>
      <c r="B621" s="49" t="s">
        <v>636</v>
      </c>
      <c r="C621" s="49" t="s">
        <v>667</v>
      </c>
      <c r="D621" s="49">
        <v>9</v>
      </c>
      <c r="E621" s="49" t="s">
        <v>661</v>
      </c>
      <c r="F621" s="49" t="s">
        <v>668</v>
      </c>
      <c r="G621" s="49" t="s">
        <v>635</v>
      </c>
      <c r="H621" s="50"/>
    </row>
    <row r="622" spans="1:8" ht="15" customHeight="1" x14ac:dyDescent="0.3">
      <c r="A622" s="51">
        <v>46277</v>
      </c>
      <c r="B622" s="52" t="s">
        <v>637</v>
      </c>
      <c r="C622" s="52" t="s">
        <v>667</v>
      </c>
      <c r="D622" s="52">
        <v>9</v>
      </c>
      <c r="E622" s="52" t="s">
        <v>661</v>
      </c>
      <c r="F622" s="52" t="s">
        <v>668</v>
      </c>
      <c r="G622" s="52" t="s">
        <v>632</v>
      </c>
      <c r="H622" s="53" t="s">
        <v>638</v>
      </c>
    </row>
    <row r="623" spans="1:8" ht="15" customHeight="1" x14ac:dyDescent="0.3">
      <c r="A623" s="51">
        <v>46278</v>
      </c>
      <c r="B623" s="52" t="s">
        <v>639</v>
      </c>
      <c r="C623" s="52" t="s">
        <v>667</v>
      </c>
      <c r="D623" s="52">
        <v>9</v>
      </c>
      <c r="E623" s="52" t="s">
        <v>661</v>
      </c>
      <c r="F623" s="52" t="s">
        <v>668</v>
      </c>
      <c r="G623" s="52" t="s">
        <v>632</v>
      </c>
      <c r="H623" s="53" t="s">
        <v>638</v>
      </c>
    </row>
    <row r="624" spans="1:8" ht="15" customHeight="1" x14ac:dyDescent="0.3">
      <c r="A624" s="48">
        <v>46279</v>
      </c>
      <c r="B624" s="49" t="s">
        <v>640</v>
      </c>
      <c r="C624" s="49" t="s">
        <v>667</v>
      </c>
      <c r="D624" s="49">
        <v>9</v>
      </c>
      <c r="E624" s="49" t="s">
        <v>661</v>
      </c>
      <c r="F624" s="49" t="s">
        <v>668</v>
      </c>
      <c r="G624" s="49" t="s">
        <v>635</v>
      </c>
      <c r="H624" s="50"/>
    </row>
    <row r="625" spans="1:8" ht="15" customHeight="1" x14ac:dyDescent="0.3">
      <c r="A625" s="48">
        <v>46280</v>
      </c>
      <c r="B625" s="49" t="s">
        <v>641</v>
      </c>
      <c r="C625" s="49" t="s">
        <v>667</v>
      </c>
      <c r="D625" s="49">
        <v>9</v>
      </c>
      <c r="E625" s="49" t="s">
        <v>661</v>
      </c>
      <c r="F625" s="49" t="s">
        <v>668</v>
      </c>
      <c r="G625" s="49" t="s">
        <v>635</v>
      </c>
      <c r="H625" s="50"/>
    </row>
    <row r="626" spans="1:8" ht="15" customHeight="1" x14ac:dyDescent="0.3">
      <c r="A626" s="48">
        <v>46281</v>
      </c>
      <c r="B626" s="49" t="s">
        <v>628</v>
      </c>
      <c r="C626" s="49" t="s">
        <v>667</v>
      </c>
      <c r="D626" s="49">
        <v>9</v>
      </c>
      <c r="E626" s="49" t="s">
        <v>661</v>
      </c>
      <c r="F626" s="49" t="s">
        <v>668</v>
      </c>
      <c r="G626" s="49" t="s">
        <v>635</v>
      </c>
      <c r="H626" s="50"/>
    </row>
    <row r="627" spans="1:8" ht="15" customHeight="1" x14ac:dyDescent="0.3">
      <c r="A627" s="48">
        <v>46282</v>
      </c>
      <c r="B627" s="49" t="s">
        <v>634</v>
      </c>
      <c r="C627" s="49" t="s">
        <v>667</v>
      </c>
      <c r="D627" s="49">
        <v>9</v>
      </c>
      <c r="E627" s="49" t="s">
        <v>661</v>
      </c>
      <c r="F627" s="49" t="s">
        <v>668</v>
      </c>
      <c r="G627" s="49" t="s">
        <v>635</v>
      </c>
      <c r="H627" s="50"/>
    </row>
    <row r="628" spans="1:8" ht="15" customHeight="1" x14ac:dyDescent="0.3">
      <c r="A628" s="48">
        <v>46283</v>
      </c>
      <c r="B628" s="49" t="s">
        <v>636</v>
      </c>
      <c r="C628" s="49" t="s">
        <v>667</v>
      </c>
      <c r="D628" s="49">
        <v>9</v>
      </c>
      <c r="E628" s="49" t="s">
        <v>661</v>
      </c>
      <c r="F628" s="49" t="s">
        <v>668</v>
      </c>
      <c r="G628" s="49" t="s">
        <v>635</v>
      </c>
      <c r="H628" s="50"/>
    </row>
    <row r="629" spans="1:8" ht="15" customHeight="1" x14ac:dyDescent="0.3">
      <c r="A629" s="51">
        <v>46284</v>
      </c>
      <c r="B629" s="52" t="s">
        <v>637</v>
      </c>
      <c r="C629" s="52" t="s">
        <v>667</v>
      </c>
      <c r="D629" s="52">
        <v>9</v>
      </c>
      <c r="E629" s="52" t="s">
        <v>661</v>
      </c>
      <c r="F629" s="52" t="s">
        <v>668</v>
      </c>
      <c r="G629" s="52" t="s">
        <v>632</v>
      </c>
      <c r="H629" s="53" t="s">
        <v>638</v>
      </c>
    </row>
    <row r="630" spans="1:8" ht="15" customHeight="1" x14ac:dyDescent="0.3">
      <c r="A630" s="51">
        <v>46285</v>
      </c>
      <c r="B630" s="52" t="s">
        <v>639</v>
      </c>
      <c r="C630" s="52" t="s">
        <v>667</v>
      </c>
      <c r="D630" s="52">
        <v>9</v>
      </c>
      <c r="E630" s="52" t="s">
        <v>661</v>
      </c>
      <c r="F630" s="52" t="s">
        <v>668</v>
      </c>
      <c r="G630" s="52" t="s">
        <v>632</v>
      </c>
      <c r="H630" s="53" t="s">
        <v>638</v>
      </c>
    </row>
    <row r="631" spans="1:8" ht="15" customHeight="1" x14ac:dyDescent="0.3">
      <c r="A631" s="48">
        <v>46286</v>
      </c>
      <c r="B631" s="49" t="s">
        <v>640</v>
      </c>
      <c r="C631" s="49" t="s">
        <v>667</v>
      </c>
      <c r="D631" s="49">
        <v>9</v>
      </c>
      <c r="E631" s="49" t="s">
        <v>661</v>
      </c>
      <c r="F631" s="49" t="s">
        <v>668</v>
      </c>
      <c r="G631" s="49" t="s">
        <v>635</v>
      </c>
      <c r="H631" s="50"/>
    </row>
    <row r="632" spans="1:8" ht="15" customHeight="1" x14ac:dyDescent="0.3">
      <c r="A632" s="48">
        <v>46287</v>
      </c>
      <c r="B632" s="49" t="s">
        <v>641</v>
      </c>
      <c r="C632" s="49" t="s">
        <v>667</v>
      </c>
      <c r="D632" s="49">
        <v>9</v>
      </c>
      <c r="E632" s="49" t="s">
        <v>661</v>
      </c>
      <c r="F632" s="49" t="s">
        <v>668</v>
      </c>
      <c r="G632" s="49" t="s">
        <v>635</v>
      </c>
      <c r="H632" s="50"/>
    </row>
    <row r="633" spans="1:8" ht="15" customHeight="1" x14ac:dyDescent="0.3">
      <c r="A633" s="48">
        <v>46288</v>
      </c>
      <c r="B633" s="49" t="s">
        <v>628</v>
      </c>
      <c r="C633" s="49" t="s">
        <v>667</v>
      </c>
      <c r="D633" s="49">
        <v>9</v>
      </c>
      <c r="E633" s="49" t="s">
        <v>661</v>
      </c>
      <c r="F633" s="49" t="s">
        <v>668</v>
      </c>
      <c r="G633" s="49" t="s">
        <v>635</v>
      </c>
      <c r="H633" s="50"/>
    </row>
    <row r="634" spans="1:8" ht="15" customHeight="1" x14ac:dyDescent="0.3">
      <c r="A634" s="48">
        <v>46289</v>
      </c>
      <c r="B634" s="49" t="s">
        <v>634</v>
      </c>
      <c r="C634" s="49" t="s">
        <v>667</v>
      </c>
      <c r="D634" s="49">
        <v>9</v>
      </c>
      <c r="E634" s="49" t="s">
        <v>661</v>
      </c>
      <c r="F634" s="49" t="s">
        <v>668</v>
      </c>
      <c r="G634" s="49" t="s">
        <v>635</v>
      </c>
      <c r="H634" s="50"/>
    </row>
    <row r="635" spans="1:8" ht="15" customHeight="1" x14ac:dyDescent="0.3">
      <c r="A635" s="48">
        <v>46290</v>
      </c>
      <c r="B635" s="49" t="s">
        <v>636</v>
      </c>
      <c r="C635" s="49" t="s">
        <v>667</v>
      </c>
      <c r="D635" s="49">
        <v>9</v>
      </c>
      <c r="E635" s="49" t="s">
        <v>661</v>
      </c>
      <c r="F635" s="49" t="s">
        <v>668</v>
      </c>
      <c r="G635" s="49" t="s">
        <v>635</v>
      </c>
      <c r="H635" s="50"/>
    </row>
    <row r="636" spans="1:8" ht="15" customHeight="1" x14ac:dyDescent="0.3">
      <c r="A636" s="51">
        <v>46291</v>
      </c>
      <c r="B636" s="52" t="s">
        <v>637</v>
      </c>
      <c r="C636" s="52" t="s">
        <v>667</v>
      </c>
      <c r="D636" s="52">
        <v>9</v>
      </c>
      <c r="E636" s="52" t="s">
        <v>661</v>
      </c>
      <c r="F636" s="52" t="s">
        <v>668</v>
      </c>
      <c r="G636" s="52" t="s">
        <v>632</v>
      </c>
      <c r="H636" s="53" t="s">
        <v>638</v>
      </c>
    </row>
    <row r="637" spans="1:8" ht="15" customHeight="1" x14ac:dyDescent="0.3">
      <c r="A637" s="51">
        <v>46292</v>
      </c>
      <c r="B637" s="52" t="s">
        <v>639</v>
      </c>
      <c r="C637" s="52" t="s">
        <v>667</v>
      </c>
      <c r="D637" s="52">
        <v>9</v>
      </c>
      <c r="E637" s="52" t="s">
        <v>661</v>
      </c>
      <c r="F637" s="52" t="s">
        <v>668</v>
      </c>
      <c r="G637" s="52" t="s">
        <v>632</v>
      </c>
      <c r="H637" s="53" t="s">
        <v>638</v>
      </c>
    </row>
    <row r="638" spans="1:8" ht="15" customHeight="1" x14ac:dyDescent="0.3">
      <c r="A638" s="48">
        <v>46293</v>
      </c>
      <c r="B638" s="49" t="s">
        <v>640</v>
      </c>
      <c r="C638" s="49" t="s">
        <v>667</v>
      </c>
      <c r="D638" s="49">
        <v>9</v>
      </c>
      <c r="E638" s="49" t="s">
        <v>661</v>
      </c>
      <c r="F638" s="49" t="s">
        <v>668</v>
      </c>
      <c r="G638" s="49" t="s">
        <v>635</v>
      </c>
      <c r="H638" s="50"/>
    </row>
    <row r="639" spans="1:8" ht="15" customHeight="1" x14ac:dyDescent="0.3">
      <c r="A639" s="48">
        <v>46294</v>
      </c>
      <c r="B639" s="49" t="s">
        <v>641</v>
      </c>
      <c r="C639" s="49" t="s">
        <v>667</v>
      </c>
      <c r="D639" s="49">
        <v>9</v>
      </c>
      <c r="E639" s="49" t="s">
        <v>661</v>
      </c>
      <c r="F639" s="49" t="s">
        <v>668</v>
      </c>
      <c r="G639" s="49" t="s">
        <v>635</v>
      </c>
      <c r="H639" s="50"/>
    </row>
    <row r="640" spans="1:8" ht="15" customHeight="1" x14ac:dyDescent="0.3">
      <c r="A640" s="48">
        <v>46295</v>
      </c>
      <c r="B640" s="49" t="s">
        <v>628</v>
      </c>
      <c r="C640" s="49" t="s">
        <v>667</v>
      </c>
      <c r="D640" s="49">
        <v>9</v>
      </c>
      <c r="E640" s="49" t="s">
        <v>661</v>
      </c>
      <c r="F640" s="49" t="s">
        <v>668</v>
      </c>
      <c r="G640" s="49" t="s">
        <v>635</v>
      </c>
      <c r="H640" s="50"/>
    </row>
    <row r="641" spans="1:8" ht="15" customHeight="1" x14ac:dyDescent="0.3">
      <c r="A641" s="54">
        <v>46296</v>
      </c>
      <c r="B641" s="55" t="s">
        <v>634</v>
      </c>
      <c r="C641" s="55" t="s">
        <v>670</v>
      </c>
      <c r="D641" s="55">
        <v>10</v>
      </c>
      <c r="E641" s="55" t="s">
        <v>671</v>
      </c>
      <c r="F641" s="55" t="s">
        <v>672</v>
      </c>
      <c r="G641" s="55" t="s">
        <v>635</v>
      </c>
      <c r="H641" s="56"/>
    </row>
    <row r="642" spans="1:8" ht="15" customHeight="1" x14ac:dyDescent="0.3">
      <c r="A642" s="48">
        <v>46297</v>
      </c>
      <c r="B642" s="49" t="s">
        <v>636</v>
      </c>
      <c r="C642" s="49" t="s">
        <v>670</v>
      </c>
      <c r="D642" s="49">
        <v>10</v>
      </c>
      <c r="E642" s="49" t="s">
        <v>671</v>
      </c>
      <c r="F642" s="49" t="s">
        <v>672</v>
      </c>
      <c r="G642" s="49" t="s">
        <v>635</v>
      </c>
      <c r="H642" s="50"/>
    </row>
    <row r="643" spans="1:8" ht="15" customHeight="1" x14ac:dyDescent="0.3">
      <c r="A643" s="51">
        <v>46298</v>
      </c>
      <c r="B643" s="52" t="s">
        <v>637</v>
      </c>
      <c r="C643" s="52" t="s">
        <v>670</v>
      </c>
      <c r="D643" s="52">
        <v>10</v>
      </c>
      <c r="E643" s="52" t="s">
        <v>671</v>
      </c>
      <c r="F643" s="52" t="s">
        <v>672</v>
      </c>
      <c r="G643" s="52" t="s">
        <v>632</v>
      </c>
      <c r="H643" s="53" t="s">
        <v>638</v>
      </c>
    </row>
    <row r="644" spans="1:8" ht="15" customHeight="1" x14ac:dyDescent="0.3">
      <c r="A644" s="51">
        <v>46299</v>
      </c>
      <c r="B644" s="52" t="s">
        <v>639</v>
      </c>
      <c r="C644" s="52" t="s">
        <v>670</v>
      </c>
      <c r="D644" s="52">
        <v>10</v>
      </c>
      <c r="E644" s="52" t="s">
        <v>671</v>
      </c>
      <c r="F644" s="52" t="s">
        <v>672</v>
      </c>
      <c r="G644" s="52" t="s">
        <v>632</v>
      </c>
      <c r="H644" s="53" t="s">
        <v>638</v>
      </c>
    </row>
    <row r="645" spans="1:8" ht="15" customHeight="1" x14ac:dyDescent="0.3">
      <c r="A645" s="48">
        <v>46300</v>
      </c>
      <c r="B645" s="49" t="s">
        <v>640</v>
      </c>
      <c r="C645" s="49" t="s">
        <v>670</v>
      </c>
      <c r="D645" s="49">
        <v>10</v>
      </c>
      <c r="E645" s="49" t="s">
        <v>671</v>
      </c>
      <c r="F645" s="49" t="s">
        <v>672</v>
      </c>
      <c r="G645" s="49" t="s">
        <v>635</v>
      </c>
      <c r="H645" s="50"/>
    </row>
    <row r="646" spans="1:8" ht="15" customHeight="1" x14ac:dyDescent="0.3">
      <c r="A646" s="48">
        <v>46301</v>
      </c>
      <c r="B646" s="49" t="s">
        <v>641</v>
      </c>
      <c r="C646" s="49" t="s">
        <v>670</v>
      </c>
      <c r="D646" s="49">
        <v>10</v>
      </c>
      <c r="E646" s="49" t="s">
        <v>671</v>
      </c>
      <c r="F646" s="49" t="s">
        <v>672</v>
      </c>
      <c r="G646" s="49" t="s">
        <v>635</v>
      </c>
      <c r="H646" s="50"/>
    </row>
    <row r="647" spans="1:8" ht="15" customHeight="1" x14ac:dyDescent="0.3">
      <c r="A647" s="48">
        <v>46302</v>
      </c>
      <c r="B647" s="49" t="s">
        <v>628</v>
      </c>
      <c r="C647" s="49" t="s">
        <v>670</v>
      </c>
      <c r="D647" s="49">
        <v>10</v>
      </c>
      <c r="E647" s="49" t="s">
        <v>671</v>
      </c>
      <c r="F647" s="49" t="s">
        <v>672</v>
      </c>
      <c r="G647" s="49" t="s">
        <v>635</v>
      </c>
      <c r="H647" s="50"/>
    </row>
    <row r="648" spans="1:8" ht="15" customHeight="1" x14ac:dyDescent="0.3">
      <c r="A648" s="48">
        <v>46303</v>
      </c>
      <c r="B648" s="49" t="s">
        <v>634</v>
      </c>
      <c r="C648" s="49" t="s">
        <v>670</v>
      </c>
      <c r="D648" s="49">
        <v>10</v>
      </c>
      <c r="E648" s="49" t="s">
        <v>671</v>
      </c>
      <c r="F648" s="49" t="s">
        <v>672</v>
      </c>
      <c r="G648" s="49" t="s">
        <v>635</v>
      </c>
      <c r="H648" s="50"/>
    </row>
    <row r="649" spans="1:8" ht="15" customHeight="1" x14ac:dyDescent="0.3">
      <c r="A649" s="48">
        <v>46304</v>
      </c>
      <c r="B649" s="49" t="s">
        <v>636</v>
      </c>
      <c r="C649" s="49" t="s">
        <v>670</v>
      </c>
      <c r="D649" s="49">
        <v>10</v>
      </c>
      <c r="E649" s="49" t="s">
        <v>671</v>
      </c>
      <c r="F649" s="49" t="s">
        <v>672</v>
      </c>
      <c r="G649" s="49" t="s">
        <v>635</v>
      </c>
      <c r="H649" s="50"/>
    </row>
    <row r="650" spans="1:8" ht="15" customHeight="1" x14ac:dyDescent="0.3">
      <c r="A650" s="51">
        <v>46305</v>
      </c>
      <c r="B650" s="52" t="s">
        <v>637</v>
      </c>
      <c r="C650" s="52" t="s">
        <v>670</v>
      </c>
      <c r="D650" s="52">
        <v>10</v>
      </c>
      <c r="E650" s="52" t="s">
        <v>671</v>
      </c>
      <c r="F650" s="52" t="s">
        <v>672</v>
      </c>
      <c r="G650" s="52" t="s">
        <v>632</v>
      </c>
      <c r="H650" s="53" t="s">
        <v>638</v>
      </c>
    </row>
    <row r="651" spans="1:8" ht="15" customHeight="1" x14ac:dyDescent="0.3">
      <c r="A651" s="51">
        <v>46306</v>
      </c>
      <c r="B651" s="52" t="s">
        <v>639</v>
      </c>
      <c r="C651" s="52" t="s">
        <v>670</v>
      </c>
      <c r="D651" s="52">
        <v>10</v>
      </c>
      <c r="E651" s="52" t="s">
        <v>671</v>
      </c>
      <c r="F651" s="52" t="s">
        <v>672</v>
      </c>
      <c r="G651" s="52" t="s">
        <v>632</v>
      </c>
      <c r="H651" s="53" t="s">
        <v>638</v>
      </c>
    </row>
    <row r="652" spans="1:8" ht="15" customHeight="1" x14ac:dyDescent="0.3">
      <c r="A652" s="48">
        <v>46307</v>
      </c>
      <c r="B652" s="49" t="s">
        <v>640</v>
      </c>
      <c r="C652" s="49" t="s">
        <v>670</v>
      </c>
      <c r="D652" s="49">
        <v>10</v>
      </c>
      <c r="E652" s="49" t="s">
        <v>671</v>
      </c>
      <c r="F652" s="49" t="s">
        <v>672</v>
      </c>
      <c r="G652" s="49" t="s">
        <v>635</v>
      </c>
      <c r="H652" s="50"/>
    </row>
    <row r="653" spans="1:8" ht="15" customHeight="1" x14ac:dyDescent="0.3">
      <c r="A653" s="48">
        <v>46308</v>
      </c>
      <c r="B653" s="49" t="s">
        <v>641</v>
      </c>
      <c r="C653" s="49" t="s">
        <v>670</v>
      </c>
      <c r="D653" s="49">
        <v>10</v>
      </c>
      <c r="E653" s="49" t="s">
        <v>671</v>
      </c>
      <c r="F653" s="49" t="s">
        <v>672</v>
      </c>
      <c r="G653" s="49" t="s">
        <v>635</v>
      </c>
      <c r="H653" s="50"/>
    </row>
    <row r="654" spans="1:8" ht="15" customHeight="1" x14ac:dyDescent="0.3">
      <c r="A654" s="48">
        <v>46309</v>
      </c>
      <c r="B654" s="49" t="s">
        <v>628</v>
      </c>
      <c r="C654" s="49" t="s">
        <v>670</v>
      </c>
      <c r="D654" s="49">
        <v>10</v>
      </c>
      <c r="E654" s="49" t="s">
        <v>671</v>
      </c>
      <c r="F654" s="49" t="s">
        <v>672</v>
      </c>
      <c r="G654" s="49" t="s">
        <v>635</v>
      </c>
      <c r="H654" s="50"/>
    </row>
    <row r="655" spans="1:8" ht="15" customHeight="1" x14ac:dyDescent="0.3">
      <c r="A655" s="48">
        <v>46310</v>
      </c>
      <c r="B655" s="49" t="s">
        <v>634</v>
      </c>
      <c r="C655" s="49" t="s">
        <v>670</v>
      </c>
      <c r="D655" s="49">
        <v>10</v>
      </c>
      <c r="E655" s="49" t="s">
        <v>671</v>
      </c>
      <c r="F655" s="49" t="s">
        <v>672</v>
      </c>
      <c r="G655" s="49" t="s">
        <v>635</v>
      </c>
      <c r="H655" s="50"/>
    </row>
    <row r="656" spans="1:8" ht="15" customHeight="1" x14ac:dyDescent="0.3">
      <c r="A656" s="48">
        <v>46311</v>
      </c>
      <c r="B656" s="49" t="s">
        <v>636</v>
      </c>
      <c r="C656" s="49" t="s">
        <v>670</v>
      </c>
      <c r="D656" s="49">
        <v>10</v>
      </c>
      <c r="E656" s="49" t="s">
        <v>671</v>
      </c>
      <c r="F656" s="49" t="s">
        <v>672</v>
      </c>
      <c r="G656" s="49" t="s">
        <v>635</v>
      </c>
      <c r="H656" s="50"/>
    </row>
    <row r="657" spans="1:8" ht="15" customHeight="1" x14ac:dyDescent="0.3">
      <c r="A657" s="51">
        <v>46312</v>
      </c>
      <c r="B657" s="52" t="s">
        <v>637</v>
      </c>
      <c r="C657" s="52" t="s">
        <v>670</v>
      </c>
      <c r="D657" s="52">
        <v>10</v>
      </c>
      <c r="E657" s="52" t="s">
        <v>671</v>
      </c>
      <c r="F657" s="52" t="s">
        <v>672</v>
      </c>
      <c r="G657" s="52" t="s">
        <v>632</v>
      </c>
      <c r="H657" s="53" t="s">
        <v>638</v>
      </c>
    </row>
    <row r="658" spans="1:8" ht="15" customHeight="1" x14ac:dyDescent="0.3">
      <c r="A658" s="51">
        <v>46313</v>
      </c>
      <c r="B658" s="52" t="s">
        <v>639</v>
      </c>
      <c r="C658" s="52" t="s">
        <v>670</v>
      </c>
      <c r="D658" s="52">
        <v>10</v>
      </c>
      <c r="E658" s="52" t="s">
        <v>671</v>
      </c>
      <c r="F658" s="52" t="s">
        <v>672</v>
      </c>
      <c r="G658" s="52" t="s">
        <v>632</v>
      </c>
      <c r="H658" s="53" t="s">
        <v>638</v>
      </c>
    </row>
    <row r="659" spans="1:8" ht="15" customHeight="1" x14ac:dyDescent="0.3">
      <c r="A659" s="48">
        <v>46314</v>
      </c>
      <c r="B659" s="49" t="s">
        <v>640</v>
      </c>
      <c r="C659" s="49" t="s">
        <v>670</v>
      </c>
      <c r="D659" s="49">
        <v>10</v>
      </c>
      <c r="E659" s="49" t="s">
        <v>671</v>
      </c>
      <c r="F659" s="49" t="s">
        <v>672</v>
      </c>
      <c r="G659" s="49" t="s">
        <v>635</v>
      </c>
      <c r="H659" s="50"/>
    </row>
    <row r="660" spans="1:8" ht="15" customHeight="1" x14ac:dyDescent="0.3">
      <c r="A660" s="48">
        <v>46315</v>
      </c>
      <c r="B660" s="49" t="s">
        <v>641</v>
      </c>
      <c r="C660" s="49" t="s">
        <v>670</v>
      </c>
      <c r="D660" s="49">
        <v>10</v>
      </c>
      <c r="E660" s="49" t="s">
        <v>671</v>
      </c>
      <c r="F660" s="49" t="s">
        <v>672</v>
      </c>
      <c r="G660" s="49" t="s">
        <v>635</v>
      </c>
      <c r="H660" s="50"/>
    </row>
    <row r="661" spans="1:8" ht="15" customHeight="1" x14ac:dyDescent="0.3">
      <c r="A661" s="48">
        <v>46316</v>
      </c>
      <c r="B661" s="49" t="s">
        <v>628</v>
      </c>
      <c r="C661" s="49" t="s">
        <v>670</v>
      </c>
      <c r="D661" s="49">
        <v>10</v>
      </c>
      <c r="E661" s="49" t="s">
        <v>671</v>
      </c>
      <c r="F661" s="49" t="s">
        <v>672</v>
      </c>
      <c r="G661" s="49" t="s">
        <v>635</v>
      </c>
      <c r="H661" s="50"/>
    </row>
    <row r="662" spans="1:8" ht="15" customHeight="1" x14ac:dyDescent="0.3">
      <c r="A662" s="48">
        <v>46317</v>
      </c>
      <c r="B662" s="49" t="s">
        <v>634</v>
      </c>
      <c r="C662" s="49" t="s">
        <v>670</v>
      </c>
      <c r="D662" s="49">
        <v>10</v>
      </c>
      <c r="E662" s="49" t="s">
        <v>671</v>
      </c>
      <c r="F662" s="49" t="s">
        <v>672</v>
      </c>
      <c r="G662" s="49" t="s">
        <v>635</v>
      </c>
      <c r="H662" s="50"/>
    </row>
    <row r="663" spans="1:8" ht="15" customHeight="1" x14ac:dyDescent="0.3">
      <c r="A663" s="48">
        <v>46318</v>
      </c>
      <c r="B663" s="49" t="s">
        <v>636</v>
      </c>
      <c r="C663" s="49" t="s">
        <v>670</v>
      </c>
      <c r="D663" s="49">
        <v>10</v>
      </c>
      <c r="E663" s="49" t="s">
        <v>671</v>
      </c>
      <c r="F663" s="49" t="s">
        <v>672</v>
      </c>
      <c r="G663" s="49" t="s">
        <v>635</v>
      </c>
      <c r="H663" s="50"/>
    </row>
    <row r="664" spans="1:8" ht="15" customHeight="1" x14ac:dyDescent="0.3">
      <c r="A664" s="51">
        <v>46319</v>
      </c>
      <c r="B664" s="52" t="s">
        <v>637</v>
      </c>
      <c r="C664" s="52" t="s">
        <v>670</v>
      </c>
      <c r="D664" s="52">
        <v>10</v>
      </c>
      <c r="E664" s="52" t="s">
        <v>671</v>
      </c>
      <c r="F664" s="52" t="s">
        <v>672</v>
      </c>
      <c r="G664" s="52" t="s">
        <v>632</v>
      </c>
      <c r="H664" s="53" t="s">
        <v>638</v>
      </c>
    </row>
    <row r="665" spans="1:8" ht="15" customHeight="1" x14ac:dyDescent="0.3">
      <c r="A665" s="51">
        <v>46320</v>
      </c>
      <c r="B665" s="52" t="s">
        <v>639</v>
      </c>
      <c r="C665" s="52" t="s">
        <v>670</v>
      </c>
      <c r="D665" s="52">
        <v>10</v>
      </c>
      <c r="E665" s="52" t="s">
        <v>671</v>
      </c>
      <c r="F665" s="52" t="s">
        <v>672</v>
      </c>
      <c r="G665" s="52" t="s">
        <v>632</v>
      </c>
      <c r="H665" s="53" t="s">
        <v>638</v>
      </c>
    </row>
    <row r="666" spans="1:8" ht="15" customHeight="1" x14ac:dyDescent="0.3">
      <c r="A666" s="48">
        <v>46321</v>
      </c>
      <c r="B666" s="49" t="s">
        <v>640</v>
      </c>
      <c r="C666" s="49" t="s">
        <v>670</v>
      </c>
      <c r="D666" s="49">
        <v>10</v>
      </c>
      <c r="E666" s="49" t="s">
        <v>671</v>
      </c>
      <c r="F666" s="49" t="s">
        <v>672</v>
      </c>
      <c r="G666" s="49" t="s">
        <v>635</v>
      </c>
      <c r="H666" s="50"/>
    </row>
    <row r="667" spans="1:8" ht="15" customHeight="1" x14ac:dyDescent="0.3">
      <c r="A667" s="48">
        <v>46322</v>
      </c>
      <c r="B667" s="49" t="s">
        <v>641</v>
      </c>
      <c r="C667" s="49" t="s">
        <v>670</v>
      </c>
      <c r="D667" s="49">
        <v>10</v>
      </c>
      <c r="E667" s="49" t="s">
        <v>671</v>
      </c>
      <c r="F667" s="49" t="s">
        <v>672</v>
      </c>
      <c r="G667" s="49" t="s">
        <v>635</v>
      </c>
      <c r="H667" s="50"/>
    </row>
    <row r="668" spans="1:8" ht="15" customHeight="1" x14ac:dyDescent="0.3">
      <c r="A668" s="48">
        <v>46323</v>
      </c>
      <c r="B668" s="49" t="s">
        <v>628</v>
      </c>
      <c r="C668" s="49" t="s">
        <v>670</v>
      </c>
      <c r="D668" s="49">
        <v>10</v>
      </c>
      <c r="E668" s="49" t="s">
        <v>671</v>
      </c>
      <c r="F668" s="49" t="s">
        <v>672</v>
      </c>
      <c r="G668" s="49" t="s">
        <v>635</v>
      </c>
      <c r="H668" s="50"/>
    </row>
    <row r="669" spans="1:8" ht="15" customHeight="1" x14ac:dyDescent="0.3">
      <c r="A669" s="48">
        <v>46324</v>
      </c>
      <c r="B669" s="49" t="s">
        <v>634</v>
      </c>
      <c r="C669" s="49" t="s">
        <v>670</v>
      </c>
      <c r="D669" s="49">
        <v>10</v>
      </c>
      <c r="E669" s="49" t="s">
        <v>671</v>
      </c>
      <c r="F669" s="49" t="s">
        <v>672</v>
      </c>
      <c r="G669" s="49" t="s">
        <v>635</v>
      </c>
      <c r="H669" s="50"/>
    </row>
    <row r="670" spans="1:8" ht="15" customHeight="1" x14ac:dyDescent="0.3">
      <c r="A670" s="48">
        <v>46325</v>
      </c>
      <c r="B670" s="49" t="s">
        <v>636</v>
      </c>
      <c r="C670" s="49" t="s">
        <v>670</v>
      </c>
      <c r="D670" s="49">
        <v>10</v>
      </c>
      <c r="E670" s="49" t="s">
        <v>671</v>
      </c>
      <c r="F670" s="49" t="s">
        <v>672</v>
      </c>
      <c r="G670" s="49" t="s">
        <v>635</v>
      </c>
      <c r="H670" s="50"/>
    </row>
    <row r="671" spans="1:8" ht="15" customHeight="1" x14ac:dyDescent="0.3">
      <c r="A671" s="51">
        <v>46326</v>
      </c>
      <c r="B671" s="52" t="s">
        <v>637</v>
      </c>
      <c r="C671" s="52" t="s">
        <v>670</v>
      </c>
      <c r="D671" s="52">
        <v>10</v>
      </c>
      <c r="E671" s="52" t="s">
        <v>671</v>
      </c>
      <c r="F671" s="52" t="s">
        <v>672</v>
      </c>
      <c r="G671" s="52" t="s">
        <v>632</v>
      </c>
      <c r="H671" s="53" t="s">
        <v>638</v>
      </c>
    </row>
    <row r="672" spans="1:8" ht="15" customHeight="1" x14ac:dyDescent="0.3">
      <c r="A672" s="51">
        <v>46327</v>
      </c>
      <c r="B672" s="52" t="s">
        <v>639</v>
      </c>
      <c r="C672" s="52" t="s">
        <v>674</v>
      </c>
      <c r="D672" s="52">
        <v>11</v>
      </c>
      <c r="E672" s="52" t="s">
        <v>671</v>
      </c>
      <c r="F672" s="52" t="s">
        <v>675</v>
      </c>
      <c r="G672" s="52" t="s">
        <v>632</v>
      </c>
      <c r="H672" s="53" t="s">
        <v>638</v>
      </c>
    </row>
    <row r="673" spans="1:8" ht="15" customHeight="1" x14ac:dyDescent="0.3">
      <c r="A673" s="48">
        <v>46328</v>
      </c>
      <c r="B673" s="49" t="s">
        <v>640</v>
      </c>
      <c r="C673" s="49" t="s">
        <v>674</v>
      </c>
      <c r="D673" s="49">
        <v>11</v>
      </c>
      <c r="E673" s="49" t="s">
        <v>671</v>
      </c>
      <c r="F673" s="49" t="s">
        <v>675</v>
      </c>
      <c r="G673" s="49" t="s">
        <v>635</v>
      </c>
      <c r="H673" s="50"/>
    </row>
    <row r="674" spans="1:8" ht="15" customHeight="1" x14ac:dyDescent="0.3">
      <c r="A674" s="48">
        <v>46329</v>
      </c>
      <c r="B674" s="49" t="s">
        <v>641</v>
      </c>
      <c r="C674" s="49" t="s">
        <v>674</v>
      </c>
      <c r="D674" s="49">
        <v>11</v>
      </c>
      <c r="E674" s="49" t="s">
        <v>671</v>
      </c>
      <c r="F674" s="49" t="s">
        <v>675</v>
      </c>
      <c r="G674" s="49" t="s">
        <v>635</v>
      </c>
      <c r="H674" s="50"/>
    </row>
    <row r="675" spans="1:8" ht="15" customHeight="1" x14ac:dyDescent="0.3">
      <c r="A675" s="48">
        <v>46330</v>
      </c>
      <c r="B675" s="49" t="s">
        <v>628</v>
      </c>
      <c r="C675" s="49" t="s">
        <v>674</v>
      </c>
      <c r="D675" s="49">
        <v>11</v>
      </c>
      <c r="E675" s="49" t="s">
        <v>671</v>
      </c>
      <c r="F675" s="49" t="s">
        <v>675</v>
      </c>
      <c r="G675" s="49" t="s">
        <v>635</v>
      </c>
      <c r="H675" s="50"/>
    </row>
    <row r="676" spans="1:8" ht="15" customHeight="1" x14ac:dyDescent="0.3">
      <c r="A676" s="48">
        <v>46331</v>
      </c>
      <c r="B676" s="49" t="s">
        <v>634</v>
      </c>
      <c r="C676" s="49" t="s">
        <v>674</v>
      </c>
      <c r="D676" s="49">
        <v>11</v>
      </c>
      <c r="E676" s="49" t="s">
        <v>671</v>
      </c>
      <c r="F676" s="49" t="s">
        <v>675</v>
      </c>
      <c r="G676" s="49" t="s">
        <v>635</v>
      </c>
      <c r="H676" s="50"/>
    </row>
    <row r="677" spans="1:8" ht="15" customHeight="1" x14ac:dyDescent="0.3">
      <c r="A677" s="48">
        <v>46332</v>
      </c>
      <c r="B677" s="49" t="s">
        <v>636</v>
      </c>
      <c r="C677" s="49" t="s">
        <v>674</v>
      </c>
      <c r="D677" s="49">
        <v>11</v>
      </c>
      <c r="E677" s="49" t="s">
        <v>671</v>
      </c>
      <c r="F677" s="49" t="s">
        <v>675</v>
      </c>
      <c r="G677" s="49" t="s">
        <v>635</v>
      </c>
      <c r="H677" s="50"/>
    </row>
    <row r="678" spans="1:8" ht="15" customHeight="1" x14ac:dyDescent="0.3">
      <c r="A678" s="51">
        <v>46333</v>
      </c>
      <c r="B678" s="52" t="s">
        <v>637</v>
      </c>
      <c r="C678" s="52" t="s">
        <v>674</v>
      </c>
      <c r="D678" s="52">
        <v>11</v>
      </c>
      <c r="E678" s="52" t="s">
        <v>671</v>
      </c>
      <c r="F678" s="52" t="s">
        <v>675</v>
      </c>
      <c r="G678" s="52" t="s">
        <v>632</v>
      </c>
      <c r="H678" s="53" t="s">
        <v>638</v>
      </c>
    </row>
    <row r="679" spans="1:8" ht="15" customHeight="1" x14ac:dyDescent="0.3">
      <c r="A679" s="51">
        <v>46334</v>
      </c>
      <c r="B679" s="52" t="s">
        <v>639</v>
      </c>
      <c r="C679" s="52" t="s">
        <v>674</v>
      </c>
      <c r="D679" s="52">
        <v>11</v>
      </c>
      <c r="E679" s="52" t="s">
        <v>671</v>
      </c>
      <c r="F679" s="52" t="s">
        <v>675</v>
      </c>
      <c r="G679" s="52" t="s">
        <v>632</v>
      </c>
      <c r="H679" s="53" t="s">
        <v>638</v>
      </c>
    </row>
    <row r="680" spans="1:8" ht="15" customHeight="1" x14ac:dyDescent="0.3">
      <c r="A680" s="48">
        <v>46335</v>
      </c>
      <c r="B680" s="49" t="s">
        <v>640</v>
      </c>
      <c r="C680" s="49" t="s">
        <v>674</v>
      </c>
      <c r="D680" s="49">
        <v>11</v>
      </c>
      <c r="E680" s="49" t="s">
        <v>671</v>
      </c>
      <c r="F680" s="49" t="s">
        <v>675</v>
      </c>
      <c r="G680" s="49" t="s">
        <v>635</v>
      </c>
      <c r="H680" s="50"/>
    </row>
    <row r="681" spans="1:8" ht="15" customHeight="1" x14ac:dyDescent="0.3">
      <c r="A681" s="48">
        <v>46336</v>
      </c>
      <c r="B681" s="49" t="s">
        <v>641</v>
      </c>
      <c r="C681" s="49" t="s">
        <v>674</v>
      </c>
      <c r="D681" s="49">
        <v>11</v>
      </c>
      <c r="E681" s="49" t="s">
        <v>671</v>
      </c>
      <c r="F681" s="49" t="s">
        <v>675</v>
      </c>
      <c r="G681" s="49" t="s">
        <v>635</v>
      </c>
      <c r="H681" s="50"/>
    </row>
    <row r="682" spans="1:8" ht="15" customHeight="1" x14ac:dyDescent="0.3">
      <c r="A682" s="48">
        <v>46337</v>
      </c>
      <c r="B682" s="49" t="s">
        <v>628</v>
      </c>
      <c r="C682" s="49" t="s">
        <v>674</v>
      </c>
      <c r="D682" s="49">
        <v>11</v>
      </c>
      <c r="E682" s="49" t="s">
        <v>671</v>
      </c>
      <c r="F682" s="49" t="s">
        <v>675</v>
      </c>
      <c r="G682" s="49" t="s">
        <v>635</v>
      </c>
      <c r="H682" s="50"/>
    </row>
    <row r="683" spans="1:8" ht="15" customHeight="1" x14ac:dyDescent="0.3">
      <c r="A683" s="48">
        <v>46338</v>
      </c>
      <c r="B683" s="49" t="s">
        <v>634</v>
      </c>
      <c r="C683" s="49" t="s">
        <v>674</v>
      </c>
      <c r="D683" s="49">
        <v>11</v>
      </c>
      <c r="E683" s="49" t="s">
        <v>671</v>
      </c>
      <c r="F683" s="49" t="s">
        <v>675</v>
      </c>
      <c r="G683" s="49" t="s">
        <v>635</v>
      </c>
      <c r="H683" s="50"/>
    </row>
    <row r="684" spans="1:8" ht="15" customHeight="1" x14ac:dyDescent="0.3">
      <c r="A684" s="48">
        <v>46339</v>
      </c>
      <c r="B684" s="49" t="s">
        <v>636</v>
      </c>
      <c r="C684" s="49" t="s">
        <v>674</v>
      </c>
      <c r="D684" s="49">
        <v>11</v>
      </c>
      <c r="E684" s="49" t="s">
        <v>671</v>
      </c>
      <c r="F684" s="49" t="s">
        <v>675</v>
      </c>
      <c r="G684" s="49" t="s">
        <v>635</v>
      </c>
      <c r="H684" s="50"/>
    </row>
    <row r="685" spans="1:8" ht="15" customHeight="1" x14ac:dyDescent="0.3">
      <c r="A685" s="51">
        <v>46340</v>
      </c>
      <c r="B685" s="52" t="s">
        <v>637</v>
      </c>
      <c r="C685" s="52" t="s">
        <v>674</v>
      </c>
      <c r="D685" s="52">
        <v>11</v>
      </c>
      <c r="E685" s="52" t="s">
        <v>671</v>
      </c>
      <c r="F685" s="52" t="s">
        <v>675</v>
      </c>
      <c r="G685" s="52" t="s">
        <v>632</v>
      </c>
      <c r="H685" s="53" t="s">
        <v>638</v>
      </c>
    </row>
    <row r="686" spans="1:8" ht="15" customHeight="1" x14ac:dyDescent="0.3">
      <c r="A686" s="51">
        <v>46341</v>
      </c>
      <c r="B686" s="52" t="s">
        <v>639</v>
      </c>
      <c r="C686" s="52" t="s">
        <v>674</v>
      </c>
      <c r="D686" s="52">
        <v>11</v>
      </c>
      <c r="E686" s="52" t="s">
        <v>671</v>
      </c>
      <c r="F686" s="52" t="s">
        <v>675</v>
      </c>
      <c r="G686" s="52" t="s">
        <v>632</v>
      </c>
      <c r="H686" s="53" t="s">
        <v>638</v>
      </c>
    </row>
    <row r="687" spans="1:8" ht="15" customHeight="1" x14ac:dyDescent="0.3">
      <c r="A687" s="48">
        <v>46342</v>
      </c>
      <c r="B687" s="49" t="s">
        <v>640</v>
      </c>
      <c r="C687" s="49" t="s">
        <v>674</v>
      </c>
      <c r="D687" s="49">
        <v>11</v>
      </c>
      <c r="E687" s="49" t="s">
        <v>671</v>
      </c>
      <c r="F687" s="49" t="s">
        <v>675</v>
      </c>
      <c r="G687" s="49" t="s">
        <v>635</v>
      </c>
      <c r="H687" s="50"/>
    </row>
    <row r="688" spans="1:8" ht="15" customHeight="1" x14ac:dyDescent="0.3">
      <c r="A688" s="48">
        <v>46343</v>
      </c>
      <c r="B688" s="49" t="s">
        <v>641</v>
      </c>
      <c r="C688" s="49" t="s">
        <v>674</v>
      </c>
      <c r="D688" s="49">
        <v>11</v>
      </c>
      <c r="E688" s="49" t="s">
        <v>671</v>
      </c>
      <c r="F688" s="49" t="s">
        <v>675</v>
      </c>
      <c r="G688" s="49" t="s">
        <v>635</v>
      </c>
      <c r="H688" s="50"/>
    </row>
    <row r="689" spans="1:8" ht="15" customHeight="1" x14ac:dyDescent="0.3">
      <c r="A689" s="48">
        <v>46344</v>
      </c>
      <c r="B689" s="49" t="s">
        <v>628</v>
      </c>
      <c r="C689" s="49" t="s">
        <v>674</v>
      </c>
      <c r="D689" s="49">
        <v>11</v>
      </c>
      <c r="E689" s="49" t="s">
        <v>671</v>
      </c>
      <c r="F689" s="49" t="s">
        <v>675</v>
      </c>
      <c r="G689" s="49" t="s">
        <v>635</v>
      </c>
      <c r="H689" s="50"/>
    </row>
    <row r="690" spans="1:8" ht="15" customHeight="1" x14ac:dyDescent="0.3">
      <c r="A690" s="48">
        <v>46345</v>
      </c>
      <c r="B690" s="49" t="s">
        <v>634</v>
      </c>
      <c r="C690" s="49" t="s">
        <v>674</v>
      </c>
      <c r="D690" s="49">
        <v>11</v>
      </c>
      <c r="E690" s="49" t="s">
        <v>671</v>
      </c>
      <c r="F690" s="49" t="s">
        <v>675</v>
      </c>
      <c r="G690" s="49" t="s">
        <v>635</v>
      </c>
      <c r="H690" s="50"/>
    </row>
    <row r="691" spans="1:8" ht="15" customHeight="1" x14ac:dyDescent="0.3">
      <c r="A691" s="48">
        <v>46346</v>
      </c>
      <c r="B691" s="49" t="s">
        <v>636</v>
      </c>
      <c r="C691" s="49" t="s">
        <v>674</v>
      </c>
      <c r="D691" s="49">
        <v>11</v>
      </c>
      <c r="E691" s="49" t="s">
        <v>671</v>
      </c>
      <c r="F691" s="49" t="s">
        <v>675</v>
      </c>
      <c r="G691" s="49" t="s">
        <v>635</v>
      </c>
      <c r="H691" s="50"/>
    </row>
    <row r="692" spans="1:8" ht="15" customHeight="1" x14ac:dyDescent="0.3">
      <c r="A692" s="51">
        <v>46347</v>
      </c>
      <c r="B692" s="52" t="s">
        <v>637</v>
      </c>
      <c r="C692" s="52" t="s">
        <v>674</v>
      </c>
      <c r="D692" s="52">
        <v>11</v>
      </c>
      <c r="E692" s="52" t="s">
        <v>671</v>
      </c>
      <c r="F692" s="52" t="s">
        <v>675</v>
      </c>
      <c r="G692" s="52" t="s">
        <v>632</v>
      </c>
      <c r="H692" s="53" t="s">
        <v>638</v>
      </c>
    </row>
    <row r="693" spans="1:8" ht="15" customHeight="1" x14ac:dyDescent="0.3">
      <c r="A693" s="51">
        <v>46348</v>
      </c>
      <c r="B693" s="52" t="s">
        <v>639</v>
      </c>
      <c r="C693" s="52" t="s">
        <v>674</v>
      </c>
      <c r="D693" s="52">
        <v>11</v>
      </c>
      <c r="E693" s="52" t="s">
        <v>671</v>
      </c>
      <c r="F693" s="52" t="s">
        <v>675</v>
      </c>
      <c r="G693" s="52" t="s">
        <v>632</v>
      </c>
      <c r="H693" s="53" t="s">
        <v>638</v>
      </c>
    </row>
    <row r="694" spans="1:8" ht="15" customHeight="1" x14ac:dyDescent="0.3">
      <c r="A694" s="48">
        <v>46349</v>
      </c>
      <c r="B694" s="49" t="s">
        <v>640</v>
      </c>
      <c r="C694" s="49" t="s">
        <v>674</v>
      </c>
      <c r="D694" s="49">
        <v>11</v>
      </c>
      <c r="E694" s="49" t="s">
        <v>671</v>
      </c>
      <c r="F694" s="49" t="s">
        <v>675</v>
      </c>
      <c r="G694" s="49" t="s">
        <v>635</v>
      </c>
      <c r="H694" s="50"/>
    </row>
    <row r="695" spans="1:8" ht="15" customHeight="1" x14ac:dyDescent="0.3">
      <c r="A695" s="48">
        <v>46350</v>
      </c>
      <c r="B695" s="49" t="s">
        <v>641</v>
      </c>
      <c r="C695" s="49" t="s">
        <v>674</v>
      </c>
      <c r="D695" s="49">
        <v>11</v>
      </c>
      <c r="E695" s="49" t="s">
        <v>671</v>
      </c>
      <c r="F695" s="49" t="s">
        <v>675</v>
      </c>
      <c r="G695" s="49" t="s">
        <v>635</v>
      </c>
      <c r="H695" s="50"/>
    </row>
    <row r="696" spans="1:8" ht="15" customHeight="1" x14ac:dyDescent="0.3">
      <c r="A696" s="48">
        <v>46351</v>
      </c>
      <c r="B696" s="49" t="s">
        <v>628</v>
      </c>
      <c r="C696" s="49" t="s">
        <v>674</v>
      </c>
      <c r="D696" s="49">
        <v>11</v>
      </c>
      <c r="E696" s="49" t="s">
        <v>671</v>
      </c>
      <c r="F696" s="49" t="s">
        <v>675</v>
      </c>
      <c r="G696" s="49" t="s">
        <v>635</v>
      </c>
      <c r="H696" s="50"/>
    </row>
    <row r="697" spans="1:8" ht="15" customHeight="1" x14ac:dyDescent="0.3">
      <c r="A697" s="48">
        <v>46352</v>
      </c>
      <c r="B697" s="49" t="s">
        <v>634</v>
      </c>
      <c r="C697" s="49" t="s">
        <v>674</v>
      </c>
      <c r="D697" s="49">
        <v>11</v>
      </c>
      <c r="E697" s="49" t="s">
        <v>671</v>
      </c>
      <c r="F697" s="49" t="s">
        <v>675</v>
      </c>
      <c r="G697" s="49" t="s">
        <v>635</v>
      </c>
      <c r="H697" s="50"/>
    </row>
    <row r="698" spans="1:8" ht="15" customHeight="1" x14ac:dyDescent="0.3">
      <c r="A698" s="48">
        <v>46353</v>
      </c>
      <c r="B698" s="49" t="s">
        <v>636</v>
      </c>
      <c r="C698" s="49" t="s">
        <v>674</v>
      </c>
      <c r="D698" s="49">
        <v>11</v>
      </c>
      <c r="E698" s="49" t="s">
        <v>671</v>
      </c>
      <c r="F698" s="49" t="s">
        <v>675</v>
      </c>
      <c r="G698" s="49" t="s">
        <v>635</v>
      </c>
      <c r="H698" s="50"/>
    </row>
    <row r="699" spans="1:8" ht="15" customHeight="1" x14ac:dyDescent="0.3">
      <c r="A699" s="51">
        <v>46354</v>
      </c>
      <c r="B699" s="52" t="s">
        <v>637</v>
      </c>
      <c r="C699" s="52" t="s">
        <v>674</v>
      </c>
      <c r="D699" s="52">
        <v>11</v>
      </c>
      <c r="E699" s="52" t="s">
        <v>671</v>
      </c>
      <c r="F699" s="52" t="s">
        <v>675</v>
      </c>
      <c r="G699" s="52" t="s">
        <v>632</v>
      </c>
      <c r="H699" s="53" t="s">
        <v>638</v>
      </c>
    </row>
    <row r="700" spans="1:8" ht="15" customHeight="1" x14ac:dyDescent="0.3">
      <c r="A700" s="51">
        <v>46355</v>
      </c>
      <c r="B700" s="52" t="s">
        <v>639</v>
      </c>
      <c r="C700" s="52" t="s">
        <v>674</v>
      </c>
      <c r="D700" s="52">
        <v>11</v>
      </c>
      <c r="E700" s="52" t="s">
        <v>671</v>
      </c>
      <c r="F700" s="52" t="s">
        <v>675</v>
      </c>
      <c r="G700" s="52" t="s">
        <v>632</v>
      </c>
      <c r="H700" s="53" t="s">
        <v>638</v>
      </c>
    </row>
    <row r="701" spans="1:8" ht="15" customHeight="1" x14ac:dyDescent="0.3">
      <c r="A701" s="48">
        <v>46356</v>
      </c>
      <c r="B701" s="49" t="s">
        <v>640</v>
      </c>
      <c r="C701" s="49" t="s">
        <v>674</v>
      </c>
      <c r="D701" s="49">
        <v>11</v>
      </c>
      <c r="E701" s="49" t="s">
        <v>671</v>
      </c>
      <c r="F701" s="49" t="s">
        <v>675</v>
      </c>
      <c r="G701" s="49" t="s">
        <v>635</v>
      </c>
      <c r="H701" s="50"/>
    </row>
    <row r="702" spans="1:8" ht="15" customHeight="1" x14ac:dyDescent="0.3">
      <c r="A702" s="54">
        <v>46357</v>
      </c>
      <c r="B702" s="55" t="s">
        <v>641</v>
      </c>
      <c r="C702" s="55" t="s">
        <v>677</v>
      </c>
      <c r="D702" s="55">
        <v>12</v>
      </c>
      <c r="E702" s="55" t="s">
        <v>671</v>
      </c>
      <c r="F702" s="55" t="s">
        <v>678</v>
      </c>
      <c r="G702" s="55" t="s">
        <v>635</v>
      </c>
      <c r="H702" s="56"/>
    </row>
    <row r="703" spans="1:8" ht="15" customHeight="1" x14ac:dyDescent="0.3">
      <c r="A703" s="48">
        <v>46358</v>
      </c>
      <c r="B703" s="49" t="s">
        <v>628</v>
      </c>
      <c r="C703" s="49" t="s">
        <v>677</v>
      </c>
      <c r="D703" s="49">
        <v>12</v>
      </c>
      <c r="E703" s="49" t="s">
        <v>671</v>
      </c>
      <c r="F703" s="49" t="s">
        <v>678</v>
      </c>
      <c r="G703" s="49" t="s">
        <v>635</v>
      </c>
      <c r="H703" s="50"/>
    </row>
    <row r="704" spans="1:8" ht="15" customHeight="1" x14ac:dyDescent="0.3">
      <c r="A704" s="48">
        <v>46359</v>
      </c>
      <c r="B704" s="49" t="s">
        <v>634</v>
      </c>
      <c r="C704" s="49" t="s">
        <v>677</v>
      </c>
      <c r="D704" s="49">
        <v>12</v>
      </c>
      <c r="E704" s="49" t="s">
        <v>671</v>
      </c>
      <c r="F704" s="49" t="s">
        <v>678</v>
      </c>
      <c r="G704" s="49" t="s">
        <v>635</v>
      </c>
      <c r="H704" s="50"/>
    </row>
    <row r="705" spans="1:8" ht="15" customHeight="1" x14ac:dyDescent="0.3">
      <c r="A705" s="48">
        <v>46360</v>
      </c>
      <c r="B705" s="49" t="s">
        <v>636</v>
      </c>
      <c r="C705" s="49" t="s">
        <v>677</v>
      </c>
      <c r="D705" s="49">
        <v>12</v>
      </c>
      <c r="E705" s="49" t="s">
        <v>671</v>
      </c>
      <c r="F705" s="49" t="s">
        <v>678</v>
      </c>
      <c r="G705" s="49" t="s">
        <v>635</v>
      </c>
      <c r="H705" s="50"/>
    </row>
    <row r="706" spans="1:8" ht="15" customHeight="1" x14ac:dyDescent="0.3">
      <c r="A706" s="51">
        <v>46361</v>
      </c>
      <c r="B706" s="52" t="s">
        <v>637</v>
      </c>
      <c r="C706" s="52" t="s">
        <v>677</v>
      </c>
      <c r="D706" s="52">
        <v>12</v>
      </c>
      <c r="E706" s="52" t="s">
        <v>671</v>
      </c>
      <c r="F706" s="52" t="s">
        <v>678</v>
      </c>
      <c r="G706" s="52" t="s">
        <v>632</v>
      </c>
      <c r="H706" s="53" t="s">
        <v>638</v>
      </c>
    </row>
    <row r="707" spans="1:8" ht="15" customHeight="1" x14ac:dyDescent="0.3">
      <c r="A707" s="51">
        <v>46362</v>
      </c>
      <c r="B707" s="52" t="s">
        <v>639</v>
      </c>
      <c r="C707" s="52" t="s">
        <v>677</v>
      </c>
      <c r="D707" s="52">
        <v>12</v>
      </c>
      <c r="E707" s="52" t="s">
        <v>671</v>
      </c>
      <c r="F707" s="52" t="s">
        <v>678</v>
      </c>
      <c r="G707" s="52" t="s">
        <v>632</v>
      </c>
      <c r="H707" s="53" t="s">
        <v>638</v>
      </c>
    </row>
    <row r="708" spans="1:8" ht="15" customHeight="1" x14ac:dyDescent="0.3">
      <c r="A708" s="48">
        <v>46363</v>
      </c>
      <c r="B708" s="49" t="s">
        <v>640</v>
      </c>
      <c r="C708" s="49" t="s">
        <v>677</v>
      </c>
      <c r="D708" s="49">
        <v>12</v>
      </c>
      <c r="E708" s="49" t="s">
        <v>671</v>
      </c>
      <c r="F708" s="49" t="s">
        <v>678</v>
      </c>
      <c r="G708" s="49" t="s">
        <v>635</v>
      </c>
      <c r="H708" s="50"/>
    </row>
    <row r="709" spans="1:8" ht="15" customHeight="1" x14ac:dyDescent="0.3">
      <c r="A709" s="48">
        <v>46364</v>
      </c>
      <c r="B709" s="49" t="s">
        <v>641</v>
      </c>
      <c r="C709" s="49" t="s">
        <v>677</v>
      </c>
      <c r="D709" s="49">
        <v>12</v>
      </c>
      <c r="E709" s="49" t="s">
        <v>671</v>
      </c>
      <c r="F709" s="49" t="s">
        <v>678</v>
      </c>
      <c r="G709" s="49" t="s">
        <v>635</v>
      </c>
      <c r="H709" s="50"/>
    </row>
    <row r="710" spans="1:8" ht="15" customHeight="1" x14ac:dyDescent="0.3">
      <c r="A710" s="48">
        <v>46365</v>
      </c>
      <c r="B710" s="49" t="s">
        <v>628</v>
      </c>
      <c r="C710" s="49" t="s">
        <v>677</v>
      </c>
      <c r="D710" s="49">
        <v>12</v>
      </c>
      <c r="E710" s="49" t="s">
        <v>671</v>
      </c>
      <c r="F710" s="49" t="s">
        <v>678</v>
      </c>
      <c r="G710" s="49" t="s">
        <v>635</v>
      </c>
      <c r="H710" s="50"/>
    </row>
    <row r="711" spans="1:8" ht="15" customHeight="1" x14ac:dyDescent="0.3">
      <c r="A711" s="48">
        <v>46366</v>
      </c>
      <c r="B711" s="49" t="s">
        <v>634</v>
      </c>
      <c r="C711" s="49" t="s">
        <v>677</v>
      </c>
      <c r="D711" s="49">
        <v>12</v>
      </c>
      <c r="E711" s="49" t="s">
        <v>671</v>
      </c>
      <c r="F711" s="49" t="s">
        <v>678</v>
      </c>
      <c r="G711" s="49" t="s">
        <v>635</v>
      </c>
      <c r="H711" s="50"/>
    </row>
    <row r="712" spans="1:8" ht="15" customHeight="1" x14ac:dyDescent="0.3">
      <c r="A712" s="48">
        <v>46367</v>
      </c>
      <c r="B712" s="49" t="s">
        <v>636</v>
      </c>
      <c r="C712" s="49" t="s">
        <v>677</v>
      </c>
      <c r="D712" s="49">
        <v>12</v>
      </c>
      <c r="E712" s="49" t="s">
        <v>671</v>
      </c>
      <c r="F712" s="49" t="s">
        <v>678</v>
      </c>
      <c r="G712" s="49" t="s">
        <v>635</v>
      </c>
      <c r="H712" s="50"/>
    </row>
    <row r="713" spans="1:8" ht="15" customHeight="1" x14ac:dyDescent="0.3">
      <c r="A713" s="51">
        <v>46368</v>
      </c>
      <c r="B713" s="52" t="s">
        <v>637</v>
      </c>
      <c r="C713" s="52" t="s">
        <v>677</v>
      </c>
      <c r="D713" s="52">
        <v>12</v>
      </c>
      <c r="E713" s="52" t="s">
        <v>671</v>
      </c>
      <c r="F713" s="52" t="s">
        <v>678</v>
      </c>
      <c r="G713" s="52" t="s">
        <v>632</v>
      </c>
      <c r="H713" s="53" t="s">
        <v>638</v>
      </c>
    </row>
    <row r="714" spans="1:8" ht="15" customHeight="1" x14ac:dyDescent="0.3">
      <c r="A714" s="51">
        <v>46369</v>
      </c>
      <c r="B714" s="52" t="s">
        <v>639</v>
      </c>
      <c r="C714" s="52" t="s">
        <v>677</v>
      </c>
      <c r="D714" s="52">
        <v>12</v>
      </c>
      <c r="E714" s="52" t="s">
        <v>671</v>
      </c>
      <c r="F714" s="52" t="s">
        <v>678</v>
      </c>
      <c r="G714" s="52" t="s">
        <v>632</v>
      </c>
      <c r="H714" s="53" t="s">
        <v>638</v>
      </c>
    </row>
    <row r="715" spans="1:8" ht="15" customHeight="1" x14ac:dyDescent="0.3">
      <c r="A715" s="48">
        <v>46370</v>
      </c>
      <c r="B715" s="49" t="s">
        <v>640</v>
      </c>
      <c r="C715" s="49" t="s">
        <v>677</v>
      </c>
      <c r="D715" s="49">
        <v>12</v>
      </c>
      <c r="E715" s="49" t="s">
        <v>671</v>
      </c>
      <c r="F715" s="49" t="s">
        <v>678</v>
      </c>
      <c r="G715" s="49" t="s">
        <v>635</v>
      </c>
      <c r="H715" s="50"/>
    </row>
    <row r="716" spans="1:8" ht="15" customHeight="1" x14ac:dyDescent="0.3">
      <c r="A716" s="48">
        <v>46371</v>
      </c>
      <c r="B716" s="49" t="s">
        <v>641</v>
      </c>
      <c r="C716" s="49" t="s">
        <v>677</v>
      </c>
      <c r="D716" s="49">
        <v>12</v>
      </c>
      <c r="E716" s="49" t="s">
        <v>671</v>
      </c>
      <c r="F716" s="49" t="s">
        <v>678</v>
      </c>
      <c r="G716" s="49" t="s">
        <v>635</v>
      </c>
      <c r="H716" s="50"/>
    </row>
    <row r="717" spans="1:8" ht="15" customHeight="1" x14ac:dyDescent="0.3">
      <c r="A717" s="48">
        <v>46372</v>
      </c>
      <c r="B717" s="49" t="s">
        <v>628</v>
      </c>
      <c r="C717" s="49" t="s">
        <v>677</v>
      </c>
      <c r="D717" s="49">
        <v>12</v>
      </c>
      <c r="E717" s="49" t="s">
        <v>671</v>
      </c>
      <c r="F717" s="49" t="s">
        <v>678</v>
      </c>
      <c r="G717" s="49" t="s">
        <v>635</v>
      </c>
      <c r="H717" s="50"/>
    </row>
    <row r="718" spans="1:8" ht="15" customHeight="1" x14ac:dyDescent="0.3">
      <c r="A718" s="48">
        <v>46373</v>
      </c>
      <c r="B718" s="49" t="s">
        <v>634</v>
      </c>
      <c r="C718" s="49" t="s">
        <v>677</v>
      </c>
      <c r="D718" s="49">
        <v>12</v>
      </c>
      <c r="E718" s="49" t="s">
        <v>671</v>
      </c>
      <c r="F718" s="49" t="s">
        <v>678</v>
      </c>
      <c r="G718" s="49" t="s">
        <v>635</v>
      </c>
      <c r="H718" s="50"/>
    </row>
    <row r="719" spans="1:8" ht="15" customHeight="1" x14ac:dyDescent="0.3">
      <c r="A719" s="48">
        <v>46374</v>
      </c>
      <c r="B719" s="49" t="s">
        <v>636</v>
      </c>
      <c r="C719" s="49" t="s">
        <v>677</v>
      </c>
      <c r="D719" s="49">
        <v>12</v>
      </c>
      <c r="E719" s="49" t="s">
        <v>671</v>
      </c>
      <c r="F719" s="49" t="s">
        <v>678</v>
      </c>
      <c r="G719" s="49" t="s">
        <v>635</v>
      </c>
      <c r="H719" s="50"/>
    </row>
    <row r="720" spans="1:8" ht="15" customHeight="1" x14ac:dyDescent="0.3">
      <c r="A720" s="51">
        <v>46375</v>
      </c>
      <c r="B720" s="52" t="s">
        <v>637</v>
      </c>
      <c r="C720" s="52" t="s">
        <v>677</v>
      </c>
      <c r="D720" s="52">
        <v>12</v>
      </c>
      <c r="E720" s="52" t="s">
        <v>671</v>
      </c>
      <c r="F720" s="52" t="s">
        <v>678</v>
      </c>
      <c r="G720" s="52" t="s">
        <v>632</v>
      </c>
      <c r="H720" s="53" t="s">
        <v>638</v>
      </c>
    </row>
    <row r="721" spans="1:8" ht="15" customHeight="1" x14ac:dyDescent="0.3">
      <c r="A721" s="51">
        <v>46376</v>
      </c>
      <c r="B721" s="52" t="s">
        <v>639</v>
      </c>
      <c r="C721" s="52" t="s">
        <v>677</v>
      </c>
      <c r="D721" s="52">
        <v>12</v>
      </c>
      <c r="E721" s="52" t="s">
        <v>671</v>
      </c>
      <c r="F721" s="52" t="s">
        <v>678</v>
      </c>
      <c r="G721" s="52" t="s">
        <v>632</v>
      </c>
      <c r="H721" s="53" t="s">
        <v>638</v>
      </c>
    </row>
    <row r="722" spans="1:8" ht="15" customHeight="1" x14ac:dyDescent="0.3">
      <c r="A722" s="48">
        <v>46377</v>
      </c>
      <c r="B722" s="49" t="s">
        <v>640</v>
      </c>
      <c r="C722" s="49" t="s">
        <v>677</v>
      </c>
      <c r="D722" s="49">
        <v>12</v>
      </c>
      <c r="E722" s="49" t="s">
        <v>671</v>
      </c>
      <c r="F722" s="49" t="s">
        <v>678</v>
      </c>
      <c r="G722" s="49" t="s">
        <v>635</v>
      </c>
      <c r="H722" s="50"/>
    </row>
    <row r="723" spans="1:8" ht="15" customHeight="1" x14ac:dyDescent="0.3">
      <c r="A723" s="48">
        <v>46378</v>
      </c>
      <c r="B723" s="49" t="s">
        <v>641</v>
      </c>
      <c r="C723" s="49" t="s">
        <v>677</v>
      </c>
      <c r="D723" s="49">
        <v>12</v>
      </c>
      <c r="E723" s="49" t="s">
        <v>671</v>
      </c>
      <c r="F723" s="49" t="s">
        <v>678</v>
      </c>
      <c r="G723" s="49" t="s">
        <v>635</v>
      </c>
      <c r="H723" s="50"/>
    </row>
    <row r="724" spans="1:8" ht="15" customHeight="1" x14ac:dyDescent="0.3">
      <c r="A724" s="48">
        <v>46379</v>
      </c>
      <c r="B724" s="49" t="s">
        <v>628</v>
      </c>
      <c r="C724" s="49" t="s">
        <v>677</v>
      </c>
      <c r="D724" s="49">
        <v>12</v>
      </c>
      <c r="E724" s="49" t="s">
        <v>671</v>
      </c>
      <c r="F724" s="49" t="s">
        <v>678</v>
      </c>
      <c r="G724" s="49" t="s">
        <v>635</v>
      </c>
      <c r="H724" s="50"/>
    </row>
    <row r="725" spans="1:8" ht="15" customHeight="1" x14ac:dyDescent="0.3">
      <c r="A725" s="48">
        <v>46380</v>
      </c>
      <c r="B725" s="49" t="s">
        <v>634</v>
      </c>
      <c r="C725" s="49" t="s">
        <v>677</v>
      </c>
      <c r="D725" s="49">
        <v>12</v>
      </c>
      <c r="E725" s="49" t="s">
        <v>671</v>
      </c>
      <c r="F725" s="49" t="s">
        <v>678</v>
      </c>
      <c r="G725" s="49" t="s">
        <v>635</v>
      </c>
      <c r="H725" s="50"/>
    </row>
    <row r="726" spans="1:8" ht="15" customHeight="1" x14ac:dyDescent="0.3">
      <c r="A726" s="48">
        <v>46381</v>
      </c>
      <c r="B726" s="49" t="s">
        <v>636</v>
      </c>
      <c r="C726" s="49" t="s">
        <v>677</v>
      </c>
      <c r="D726" s="49">
        <v>12</v>
      </c>
      <c r="E726" s="49" t="s">
        <v>671</v>
      </c>
      <c r="F726" s="49" t="s">
        <v>678</v>
      </c>
      <c r="G726" s="49" t="s">
        <v>635</v>
      </c>
      <c r="H726" s="50"/>
    </row>
    <row r="727" spans="1:8" ht="15" customHeight="1" x14ac:dyDescent="0.3">
      <c r="A727" s="51">
        <v>46382</v>
      </c>
      <c r="B727" s="52" t="s">
        <v>637</v>
      </c>
      <c r="C727" s="52" t="s">
        <v>677</v>
      </c>
      <c r="D727" s="52">
        <v>12</v>
      </c>
      <c r="E727" s="52" t="s">
        <v>671</v>
      </c>
      <c r="F727" s="52" t="s">
        <v>678</v>
      </c>
      <c r="G727" s="52" t="s">
        <v>632</v>
      </c>
      <c r="H727" s="53" t="s">
        <v>638</v>
      </c>
    </row>
    <row r="728" spans="1:8" ht="15" customHeight="1" x14ac:dyDescent="0.3">
      <c r="A728" s="51">
        <v>46383</v>
      </c>
      <c r="B728" s="52" t="s">
        <v>639</v>
      </c>
      <c r="C728" s="52" t="s">
        <v>677</v>
      </c>
      <c r="D728" s="52">
        <v>12</v>
      </c>
      <c r="E728" s="52" t="s">
        <v>671</v>
      </c>
      <c r="F728" s="52" t="s">
        <v>678</v>
      </c>
      <c r="G728" s="52" t="s">
        <v>632</v>
      </c>
      <c r="H728" s="53" t="s">
        <v>638</v>
      </c>
    </row>
    <row r="729" spans="1:8" ht="15" customHeight="1" x14ac:dyDescent="0.3">
      <c r="A729" s="48">
        <v>46384</v>
      </c>
      <c r="B729" s="49" t="s">
        <v>640</v>
      </c>
      <c r="C729" s="49" t="s">
        <v>677</v>
      </c>
      <c r="D729" s="49">
        <v>12</v>
      </c>
      <c r="E729" s="49" t="s">
        <v>671</v>
      </c>
      <c r="F729" s="49" t="s">
        <v>678</v>
      </c>
      <c r="G729" s="49" t="s">
        <v>635</v>
      </c>
      <c r="H729" s="50"/>
    </row>
    <row r="730" spans="1:8" ht="15" customHeight="1" x14ac:dyDescent="0.3">
      <c r="A730" s="48">
        <v>46385</v>
      </c>
      <c r="B730" s="49" t="s">
        <v>641</v>
      </c>
      <c r="C730" s="49" t="s">
        <v>677</v>
      </c>
      <c r="D730" s="49">
        <v>12</v>
      </c>
      <c r="E730" s="49" t="s">
        <v>671</v>
      </c>
      <c r="F730" s="49" t="s">
        <v>678</v>
      </c>
      <c r="G730" s="49" t="s">
        <v>635</v>
      </c>
      <c r="H730" s="50"/>
    </row>
    <row r="731" spans="1:8" ht="15" customHeight="1" x14ac:dyDescent="0.3">
      <c r="A731" s="48">
        <v>46386</v>
      </c>
      <c r="B731" s="49" t="s">
        <v>628</v>
      </c>
      <c r="C731" s="49" t="s">
        <v>677</v>
      </c>
      <c r="D731" s="49">
        <v>12</v>
      </c>
      <c r="E731" s="49" t="s">
        <v>671</v>
      </c>
      <c r="F731" s="49" t="s">
        <v>678</v>
      </c>
      <c r="G731" s="49" t="s">
        <v>635</v>
      </c>
      <c r="H731" s="50"/>
    </row>
    <row r="732" spans="1:8" ht="15" customHeight="1" x14ac:dyDescent="0.3">
      <c r="A732" s="48">
        <v>46387</v>
      </c>
      <c r="B732" s="49" t="s">
        <v>634</v>
      </c>
      <c r="C732" s="49" t="s">
        <v>677</v>
      </c>
      <c r="D732" s="49">
        <v>12</v>
      </c>
      <c r="E732" s="49" t="s">
        <v>671</v>
      </c>
      <c r="F732" s="49" t="s">
        <v>678</v>
      </c>
      <c r="G732" s="49" t="s">
        <v>635</v>
      </c>
      <c r="H732" s="50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10" customWidth="1"/>
    <col min="2" max="3" width="28" customWidth="1"/>
    <col min="4" max="4" width="36" customWidth="1"/>
    <col min="5" max="5" width="20" customWidth="1"/>
    <col min="6" max="6" width="18" customWidth="1"/>
    <col min="7" max="7" width="14" customWidth="1"/>
  </cols>
  <sheetData>
    <row r="1" spans="1:7" ht="24" customHeight="1" x14ac:dyDescent="0.3">
      <c r="A1" s="73" t="s">
        <v>680</v>
      </c>
      <c r="B1" s="73"/>
      <c r="C1" s="73"/>
      <c r="D1" s="73"/>
      <c r="E1" s="73"/>
      <c r="F1" s="73"/>
      <c r="G1" s="73"/>
    </row>
    <row r="2" spans="1:7" ht="21.75" customHeight="1" x14ac:dyDescent="0.3">
      <c r="A2" s="44" t="s">
        <v>681</v>
      </c>
      <c r="B2" s="44" t="s">
        <v>682</v>
      </c>
      <c r="C2" s="44" t="s">
        <v>683</v>
      </c>
      <c r="D2" s="44" t="s">
        <v>684</v>
      </c>
      <c r="E2" s="44" t="s">
        <v>16</v>
      </c>
      <c r="F2" s="44" t="s">
        <v>685</v>
      </c>
      <c r="G2" s="44" t="s">
        <v>686</v>
      </c>
    </row>
    <row r="3" spans="1:7" ht="19.5" customHeight="1" x14ac:dyDescent="0.3">
      <c r="A3" s="57" t="s">
        <v>687</v>
      </c>
      <c r="B3" s="2" t="s">
        <v>20</v>
      </c>
      <c r="C3" s="58" t="s">
        <v>688</v>
      </c>
      <c r="D3" s="58" t="s">
        <v>689</v>
      </c>
      <c r="E3" s="59">
        <v>480000</v>
      </c>
      <c r="F3" s="60" t="s">
        <v>690</v>
      </c>
      <c r="G3" s="60" t="s">
        <v>691</v>
      </c>
    </row>
    <row r="4" spans="1:7" ht="19.5" customHeight="1" x14ac:dyDescent="0.3">
      <c r="A4" s="61" t="s">
        <v>692</v>
      </c>
      <c r="B4" s="62" t="s">
        <v>25</v>
      </c>
      <c r="C4" s="3" t="s">
        <v>693</v>
      </c>
      <c r="D4" s="3" t="s">
        <v>694</v>
      </c>
      <c r="E4" s="5">
        <v>960000</v>
      </c>
      <c r="F4" s="63" t="s">
        <v>695</v>
      </c>
      <c r="G4" s="63" t="s">
        <v>696</v>
      </c>
    </row>
    <row r="5" spans="1:7" ht="19.5" customHeight="1" x14ac:dyDescent="0.3">
      <c r="A5" s="57" t="s">
        <v>697</v>
      </c>
      <c r="B5" s="2" t="s">
        <v>28</v>
      </c>
      <c r="C5" s="58" t="s">
        <v>698</v>
      </c>
      <c r="D5" s="58" t="s">
        <v>699</v>
      </c>
      <c r="E5" s="59">
        <v>360000</v>
      </c>
      <c r="F5" s="60" t="s">
        <v>700</v>
      </c>
      <c r="G5" s="60" t="s">
        <v>701</v>
      </c>
    </row>
    <row r="6" spans="1:7" ht="19.5" customHeight="1" x14ac:dyDescent="0.3">
      <c r="A6" s="61" t="s">
        <v>702</v>
      </c>
      <c r="B6" s="62" t="s">
        <v>30</v>
      </c>
      <c r="C6" s="3" t="s">
        <v>703</v>
      </c>
      <c r="D6" s="3" t="s">
        <v>704</v>
      </c>
      <c r="E6" s="5">
        <v>300000</v>
      </c>
      <c r="F6" s="63" t="s">
        <v>705</v>
      </c>
      <c r="G6" s="63" t="s">
        <v>706</v>
      </c>
    </row>
    <row r="7" spans="1:7" ht="19.5" customHeight="1" x14ac:dyDescent="0.3">
      <c r="A7" s="57" t="s">
        <v>707</v>
      </c>
      <c r="B7" s="2" t="s">
        <v>32</v>
      </c>
      <c r="C7" s="58" t="s">
        <v>708</v>
      </c>
      <c r="D7" s="58" t="s">
        <v>709</v>
      </c>
      <c r="E7" s="59">
        <v>540000</v>
      </c>
      <c r="F7" s="60" t="s">
        <v>710</v>
      </c>
      <c r="G7" s="60" t="s">
        <v>711</v>
      </c>
    </row>
    <row r="8" spans="1:7" ht="19.5" customHeight="1" x14ac:dyDescent="0.3">
      <c r="A8" s="61" t="s">
        <v>712</v>
      </c>
      <c r="B8" s="62" t="s">
        <v>34</v>
      </c>
      <c r="C8" s="3" t="s">
        <v>713</v>
      </c>
      <c r="D8" s="3" t="s">
        <v>714</v>
      </c>
      <c r="E8" s="5">
        <v>720000</v>
      </c>
      <c r="F8" s="63" t="s">
        <v>715</v>
      </c>
      <c r="G8" s="63" t="s">
        <v>716</v>
      </c>
    </row>
    <row r="9" spans="1:7" ht="19.5" customHeight="1" x14ac:dyDescent="0.3">
      <c r="A9" s="57" t="s">
        <v>717</v>
      </c>
      <c r="B9" s="2" t="s">
        <v>36</v>
      </c>
      <c r="C9" s="58" t="s">
        <v>718</v>
      </c>
      <c r="D9" s="58" t="s">
        <v>719</v>
      </c>
      <c r="E9" s="59">
        <v>240000</v>
      </c>
      <c r="F9" s="60" t="s">
        <v>720</v>
      </c>
      <c r="G9" s="60" t="s">
        <v>721</v>
      </c>
    </row>
    <row r="10" spans="1:7" ht="19.5" customHeight="1" x14ac:dyDescent="0.3">
      <c r="A10" s="61" t="s">
        <v>722</v>
      </c>
      <c r="B10" s="62" t="s">
        <v>38</v>
      </c>
      <c r="C10" s="3" t="s">
        <v>723</v>
      </c>
      <c r="D10" s="3" t="s">
        <v>724</v>
      </c>
      <c r="E10" s="5">
        <v>180000</v>
      </c>
      <c r="F10" s="63" t="s">
        <v>725</v>
      </c>
      <c r="G10" s="63" t="s">
        <v>726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10" customWidth="1"/>
    <col min="2" max="2" width="32" customWidth="1"/>
    <col min="3" max="3" width="18" customWidth="1"/>
    <col min="4" max="4" width="26" customWidth="1"/>
    <col min="5" max="5" width="36" customWidth="1"/>
    <col min="6" max="6" width="18" customWidth="1"/>
    <col min="7" max="7" width="16" customWidth="1"/>
    <col min="8" max="8" width="12" customWidth="1"/>
  </cols>
  <sheetData>
    <row r="1" spans="1:8" ht="24" customHeight="1" x14ac:dyDescent="0.3">
      <c r="A1" s="73" t="s">
        <v>727</v>
      </c>
      <c r="B1" s="73"/>
      <c r="C1" s="73"/>
      <c r="D1" s="73"/>
      <c r="E1" s="73"/>
      <c r="F1" s="73"/>
      <c r="G1" s="73"/>
      <c r="H1" s="73"/>
    </row>
    <row r="2" spans="1:8" ht="21.75" customHeight="1" x14ac:dyDescent="0.3">
      <c r="A2" s="44" t="s">
        <v>48</v>
      </c>
      <c r="B2" s="44" t="s">
        <v>47</v>
      </c>
      <c r="C2" s="44" t="s">
        <v>728</v>
      </c>
      <c r="D2" s="44" t="s">
        <v>729</v>
      </c>
      <c r="E2" s="44" t="s">
        <v>730</v>
      </c>
      <c r="F2" s="44" t="s">
        <v>731</v>
      </c>
      <c r="G2" s="44" t="s">
        <v>732</v>
      </c>
      <c r="H2" s="44" t="s">
        <v>54</v>
      </c>
    </row>
    <row r="3" spans="1:8" ht="18" customHeight="1" x14ac:dyDescent="0.3">
      <c r="A3" s="57" t="s">
        <v>59</v>
      </c>
      <c r="B3" s="2" t="s">
        <v>58</v>
      </c>
      <c r="C3" s="60" t="s">
        <v>733</v>
      </c>
      <c r="D3" s="58" t="s">
        <v>734</v>
      </c>
      <c r="E3" s="58" t="s">
        <v>735</v>
      </c>
      <c r="F3" s="60" t="s">
        <v>736</v>
      </c>
      <c r="G3" s="60" t="s">
        <v>737</v>
      </c>
      <c r="H3" s="64" t="s">
        <v>738</v>
      </c>
    </row>
    <row r="4" spans="1:8" ht="18" customHeight="1" x14ac:dyDescent="0.3">
      <c r="A4" s="61" t="s">
        <v>66</v>
      </c>
      <c r="B4" s="62" t="s">
        <v>65</v>
      </c>
      <c r="C4" s="63" t="s">
        <v>739</v>
      </c>
      <c r="D4" s="3" t="s">
        <v>740</v>
      </c>
      <c r="E4" s="3" t="s">
        <v>741</v>
      </c>
      <c r="F4" s="63" t="s">
        <v>742</v>
      </c>
      <c r="G4" s="63" t="s">
        <v>737</v>
      </c>
      <c r="H4" s="64" t="s">
        <v>738</v>
      </c>
    </row>
    <row r="5" spans="1:8" ht="18" customHeight="1" x14ac:dyDescent="0.3">
      <c r="A5" s="57" t="s">
        <v>72</v>
      </c>
      <c r="B5" s="2" t="s">
        <v>71</v>
      </c>
      <c r="C5" s="60" t="s">
        <v>743</v>
      </c>
      <c r="D5" s="58" t="s">
        <v>744</v>
      </c>
      <c r="E5" s="58" t="s">
        <v>745</v>
      </c>
      <c r="F5" s="60" t="s">
        <v>746</v>
      </c>
      <c r="G5" s="60" t="s">
        <v>737</v>
      </c>
      <c r="H5" s="64" t="s">
        <v>738</v>
      </c>
    </row>
    <row r="6" spans="1:8" ht="18" customHeight="1" x14ac:dyDescent="0.3">
      <c r="A6" s="61" t="s">
        <v>78</v>
      </c>
      <c r="B6" s="62" t="s">
        <v>77</v>
      </c>
      <c r="C6" s="63" t="s">
        <v>747</v>
      </c>
      <c r="D6" s="3" t="s">
        <v>748</v>
      </c>
      <c r="E6" s="3" t="s">
        <v>749</v>
      </c>
      <c r="F6" s="63" t="s">
        <v>750</v>
      </c>
      <c r="G6" s="63" t="s">
        <v>751</v>
      </c>
      <c r="H6" s="64" t="s">
        <v>738</v>
      </c>
    </row>
    <row r="7" spans="1:8" ht="18" customHeight="1" x14ac:dyDescent="0.3">
      <c r="A7" s="57" t="s">
        <v>84</v>
      </c>
      <c r="B7" s="2" t="s">
        <v>83</v>
      </c>
      <c r="C7" s="60" t="s">
        <v>752</v>
      </c>
      <c r="D7" s="58" t="s">
        <v>753</v>
      </c>
      <c r="E7" s="58" t="s">
        <v>754</v>
      </c>
      <c r="F7" s="60" t="s">
        <v>755</v>
      </c>
      <c r="G7" s="60" t="s">
        <v>737</v>
      </c>
      <c r="H7" s="64" t="s">
        <v>738</v>
      </c>
    </row>
    <row r="8" spans="1:8" ht="18" customHeight="1" x14ac:dyDescent="0.3">
      <c r="A8" s="61" t="s">
        <v>90</v>
      </c>
      <c r="B8" s="62" t="s">
        <v>89</v>
      </c>
      <c r="C8" s="63" t="s">
        <v>756</v>
      </c>
      <c r="D8" s="3" t="s">
        <v>757</v>
      </c>
      <c r="E8" s="3" t="s">
        <v>758</v>
      </c>
      <c r="F8" s="63" t="s">
        <v>759</v>
      </c>
      <c r="G8" s="63" t="s">
        <v>737</v>
      </c>
      <c r="H8" s="64" t="s">
        <v>738</v>
      </c>
    </row>
    <row r="9" spans="1:8" ht="18" customHeight="1" x14ac:dyDescent="0.3">
      <c r="A9" s="57" t="s">
        <v>96</v>
      </c>
      <c r="B9" s="2" t="s">
        <v>95</v>
      </c>
      <c r="C9" s="60" t="s">
        <v>760</v>
      </c>
      <c r="D9" s="58" t="s">
        <v>761</v>
      </c>
      <c r="E9" s="58" t="s">
        <v>762</v>
      </c>
      <c r="F9" s="60" t="s">
        <v>763</v>
      </c>
      <c r="G9" s="60" t="s">
        <v>737</v>
      </c>
      <c r="H9" s="64" t="s">
        <v>738</v>
      </c>
    </row>
    <row r="10" spans="1:8" ht="18" customHeight="1" x14ac:dyDescent="0.3">
      <c r="A10" s="61" t="s">
        <v>102</v>
      </c>
      <c r="B10" s="62" t="s">
        <v>101</v>
      </c>
      <c r="C10" s="63" t="s">
        <v>764</v>
      </c>
      <c r="D10" s="3" t="s">
        <v>765</v>
      </c>
      <c r="E10" s="3" t="s">
        <v>766</v>
      </c>
      <c r="F10" s="63" t="s">
        <v>767</v>
      </c>
      <c r="G10" s="63" t="s">
        <v>768</v>
      </c>
      <c r="H10" s="64" t="s">
        <v>738</v>
      </c>
    </row>
    <row r="11" spans="1:8" ht="18" customHeight="1" x14ac:dyDescent="0.3">
      <c r="A11" s="57" t="s">
        <v>108</v>
      </c>
      <c r="B11" s="2" t="s">
        <v>107</v>
      </c>
      <c r="C11" s="60" t="s">
        <v>769</v>
      </c>
      <c r="D11" s="58" t="s">
        <v>770</v>
      </c>
      <c r="E11" s="58" t="s">
        <v>771</v>
      </c>
      <c r="F11" s="60" t="s">
        <v>772</v>
      </c>
      <c r="G11" s="60" t="s">
        <v>737</v>
      </c>
      <c r="H11" s="64" t="s">
        <v>738</v>
      </c>
    </row>
    <row r="12" spans="1:8" ht="18" customHeight="1" x14ac:dyDescent="0.3">
      <c r="A12" s="61" t="s">
        <v>114</v>
      </c>
      <c r="B12" s="62" t="s">
        <v>113</v>
      </c>
      <c r="C12" s="63" t="s">
        <v>773</v>
      </c>
      <c r="D12" s="3" t="s">
        <v>774</v>
      </c>
      <c r="E12" s="3" t="s">
        <v>775</v>
      </c>
      <c r="F12" s="63" t="s">
        <v>776</v>
      </c>
      <c r="G12" s="63" t="s">
        <v>737</v>
      </c>
      <c r="H12" s="64" t="s">
        <v>738</v>
      </c>
    </row>
    <row r="13" spans="1:8" ht="18" customHeight="1" x14ac:dyDescent="0.3">
      <c r="A13" s="57" t="s">
        <v>120</v>
      </c>
      <c r="B13" s="2" t="s">
        <v>119</v>
      </c>
      <c r="C13" s="60" t="s">
        <v>777</v>
      </c>
      <c r="D13" s="58" t="s">
        <v>778</v>
      </c>
      <c r="E13" s="58" t="s">
        <v>779</v>
      </c>
      <c r="F13" s="60" t="s">
        <v>780</v>
      </c>
      <c r="G13" s="60" t="s">
        <v>737</v>
      </c>
      <c r="H13" s="64" t="s">
        <v>738</v>
      </c>
    </row>
    <row r="14" spans="1:8" ht="18" customHeight="1" x14ac:dyDescent="0.3">
      <c r="A14" s="61" t="s">
        <v>126</v>
      </c>
      <c r="B14" s="62" t="s">
        <v>125</v>
      </c>
      <c r="C14" s="63" t="s">
        <v>781</v>
      </c>
      <c r="D14" s="3" t="s">
        <v>782</v>
      </c>
      <c r="E14" s="3" t="s">
        <v>783</v>
      </c>
      <c r="F14" s="63" t="s">
        <v>784</v>
      </c>
      <c r="G14" s="63" t="s">
        <v>737</v>
      </c>
      <c r="H14" s="64" t="s">
        <v>738</v>
      </c>
    </row>
    <row r="15" spans="1:8" ht="18" customHeight="1" x14ac:dyDescent="0.3">
      <c r="A15" s="57" t="s">
        <v>132</v>
      </c>
      <c r="B15" s="2" t="s">
        <v>131</v>
      </c>
      <c r="C15" s="60" t="s">
        <v>785</v>
      </c>
      <c r="D15" s="58" t="s">
        <v>786</v>
      </c>
      <c r="E15" s="58" t="s">
        <v>787</v>
      </c>
      <c r="F15" s="60" t="s">
        <v>788</v>
      </c>
      <c r="G15" s="60" t="s">
        <v>768</v>
      </c>
      <c r="H15" s="64" t="s">
        <v>738</v>
      </c>
    </row>
    <row r="16" spans="1:8" ht="18" customHeight="1" x14ac:dyDescent="0.3">
      <c r="A16" s="61" t="s">
        <v>138</v>
      </c>
      <c r="B16" s="62" t="s">
        <v>137</v>
      </c>
      <c r="C16" s="63" t="s">
        <v>789</v>
      </c>
      <c r="D16" s="3" t="s">
        <v>790</v>
      </c>
      <c r="E16" s="3" t="s">
        <v>791</v>
      </c>
      <c r="F16" s="63" t="s">
        <v>792</v>
      </c>
      <c r="G16" s="63" t="s">
        <v>751</v>
      </c>
      <c r="H16" s="64" t="s">
        <v>738</v>
      </c>
    </row>
    <row r="17" spans="1:8" ht="18" customHeight="1" x14ac:dyDescent="0.3">
      <c r="A17" s="57" t="s">
        <v>144</v>
      </c>
      <c r="B17" s="2" t="s">
        <v>143</v>
      </c>
      <c r="C17" s="60" t="s">
        <v>793</v>
      </c>
      <c r="D17" s="58" t="s">
        <v>794</v>
      </c>
      <c r="E17" s="58" t="s">
        <v>795</v>
      </c>
      <c r="F17" s="60" t="s">
        <v>796</v>
      </c>
      <c r="G17" s="60" t="s">
        <v>737</v>
      </c>
      <c r="H17" s="64" t="s">
        <v>738</v>
      </c>
    </row>
    <row r="18" spans="1:8" ht="18" customHeight="1" x14ac:dyDescent="0.3">
      <c r="A18" s="61" t="s">
        <v>797</v>
      </c>
      <c r="B18" s="62" t="s">
        <v>798</v>
      </c>
      <c r="C18" s="63" t="s">
        <v>799</v>
      </c>
      <c r="D18" s="3" t="s">
        <v>800</v>
      </c>
      <c r="E18" s="3" t="s">
        <v>801</v>
      </c>
      <c r="F18" s="63" t="s">
        <v>802</v>
      </c>
      <c r="G18" s="63" t="s">
        <v>737</v>
      </c>
      <c r="H18" s="64" t="s">
        <v>738</v>
      </c>
    </row>
    <row r="19" spans="1:8" ht="18" customHeight="1" x14ac:dyDescent="0.3">
      <c r="A19" s="57" t="s">
        <v>803</v>
      </c>
      <c r="B19" s="2" t="s">
        <v>804</v>
      </c>
      <c r="C19" s="60" t="s">
        <v>805</v>
      </c>
      <c r="D19" s="58" t="s">
        <v>806</v>
      </c>
      <c r="E19" s="58" t="s">
        <v>807</v>
      </c>
      <c r="F19" s="60" t="s">
        <v>808</v>
      </c>
      <c r="G19" s="60" t="s">
        <v>737</v>
      </c>
      <c r="H19" s="64" t="s">
        <v>738</v>
      </c>
    </row>
    <row r="20" spans="1:8" ht="18" customHeight="1" x14ac:dyDescent="0.3">
      <c r="A20" s="61" t="s">
        <v>809</v>
      </c>
      <c r="B20" s="62" t="s">
        <v>810</v>
      </c>
      <c r="C20" s="63" t="s">
        <v>811</v>
      </c>
      <c r="D20" s="3" t="s">
        <v>812</v>
      </c>
      <c r="E20" s="3" t="s">
        <v>813</v>
      </c>
      <c r="F20" s="63" t="s">
        <v>814</v>
      </c>
      <c r="G20" s="63" t="s">
        <v>768</v>
      </c>
      <c r="H20" s="64" t="s">
        <v>738</v>
      </c>
    </row>
    <row r="21" spans="1:8" ht="18" customHeight="1" x14ac:dyDescent="0.3">
      <c r="A21" s="57" t="s">
        <v>815</v>
      </c>
      <c r="B21" s="2" t="s">
        <v>816</v>
      </c>
      <c r="C21" s="60" t="s">
        <v>817</v>
      </c>
      <c r="D21" s="58" t="s">
        <v>818</v>
      </c>
      <c r="E21" s="58" t="s">
        <v>819</v>
      </c>
      <c r="F21" s="60" t="s">
        <v>820</v>
      </c>
      <c r="G21" s="60" t="s">
        <v>737</v>
      </c>
      <c r="H21" s="64" t="s">
        <v>738</v>
      </c>
    </row>
    <row r="22" spans="1:8" ht="18" customHeight="1" x14ac:dyDescent="0.3">
      <c r="A22" s="61" t="s">
        <v>821</v>
      </c>
      <c r="B22" s="62" t="s">
        <v>822</v>
      </c>
      <c r="C22" s="63" t="s">
        <v>823</v>
      </c>
      <c r="D22" s="3" t="s">
        <v>824</v>
      </c>
      <c r="E22" s="3" t="s">
        <v>825</v>
      </c>
      <c r="F22" s="63" t="s">
        <v>826</v>
      </c>
      <c r="G22" s="63" t="s">
        <v>768</v>
      </c>
      <c r="H22" s="64" t="s">
        <v>738</v>
      </c>
    </row>
    <row r="23" spans="1:8" ht="18" customHeight="1" x14ac:dyDescent="0.3">
      <c r="A23" s="57" t="s">
        <v>827</v>
      </c>
      <c r="B23" s="2" t="s">
        <v>828</v>
      </c>
      <c r="C23" s="60" t="s">
        <v>829</v>
      </c>
      <c r="D23" s="58" t="s">
        <v>830</v>
      </c>
      <c r="E23" s="58" t="s">
        <v>831</v>
      </c>
      <c r="F23" s="60" t="s">
        <v>832</v>
      </c>
      <c r="G23" s="60" t="s">
        <v>737</v>
      </c>
      <c r="H23" s="64" t="s">
        <v>738</v>
      </c>
    </row>
    <row r="24" spans="1:8" ht="18" customHeight="1" x14ac:dyDescent="0.3">
      <c r="A24" s="61" t="s">
        <v>833</v>
      </c>
      <c r="B24" s="62" t="s">
        <v>834</v>
      </c>
      <c r="C24" s="63" t="s">
        <v>835</v>
      </c>
      <c r="D24" s="3" t="s">
        <v>836</v>
      </c>
      <c r="E24" s="3" t="s">
        <v>837</v>
      </c>
      <c r="F24" s="63" t="s">
        <v>838</v>
      </c>
      <c r="G24" s="63" t="s">
        <v>768</v>
      </c>
      <c r="H24" s="64" t="s">
        <v>738</v>
      </c>
    </row>
    <row r="25" spans="1:8" ht="18" customHeight="1" x14ac:dyDescent="0.3">
      <c r="A25" s="57" t="s">
        <v>839</v>
      </c>
      <c r="B25" s="2" t="s">
        <v>840</v>
      </c>
      <c r="C25" s="60" t="s">
        <v>841</v>
      </c>
      <c r="D25" s="58" t="s">
        <v>842</v>
      </c>
      <c r="E25" s="58" t="s">
        <v>843</v>
      </c>
      <c r="F25" s="60" t="s">
        <v>844</v>
      </c>
      <c r="G25" s="60" t="s">
        <v>737</v>
      </c>
      <c r="H25" s="64" t="s">
        <v>738</v>
      </c>
    </row>
    <row r="26" spans="1:8" ht="18" customHeight="1" x14ac:dyDescent="0.3">
      <c r="A26" s="61" t="s">
        <v>845</v>
      </c>
      <c r="B26" s="62" t="s">
        <v>846</v>
      </c>
      <c r="C26" s="63" t="s">
        <v>847</v>
      </c>
      <c r="D26" s="3" t="s">
        <v>848</v>
      </c>
      <c r="E26" s="3" t="s">
        <v>849</v>
      </c>
      <c r="F26" s="63" t="s">
        <v>850</v>
      </c>
      <c r="G26" s="63" t="s">
        <v>737</v>
      </c>
      <c r="H26" s="64" t="s">
        <v>738</v>
      </c>
    </row>
    <row r="27" spans="1:8" ht="18" customHeight="1" x14ac:dyDescent="0.3">
      <c r="A27" s="57" t="s">
        <v>851</v>
      </c>
      <c r="B27" s="2" t="s">
        <v>852</v>
      </c>
      <c r="C27" s="60" t="s">
        <v>853</v>
      </c>
      <c r="D27" s="58" t="s">
        <v>854</v>
      </c>
      <c r="E27" s="58" t="s">
        <v>855</v>
      </c>
      <c r="F27" s="60" t="s">
        <v>856</v>
      </c>
      <c r="G27" s="60" t="s">
        <v>768</v>
      </c>
      <c r="H27" s="64" t="s">
        <v>738</v>
      </c>
    </row>
    <row r="28" spans="1:8" ht="18" customHeight="1" x14ac:dyDescent="0.3">
      <c r="A28" s="61" t="s">
        <v>857</v>
      </c>
      <c r="B28" s="62" t="s">
        <v>858</v>
      </c>
      <c r="C28" s="63" t="s">
        <v>859</v>
      </c>
      <c r="D28" s="3" t="s">
        <v>860</v>
      </c>
      <c r="E28" s="3" t="s">
        <v>861</v>
      </c>
      <c r="F28" s="63" t="s">
        <v>862</v>
      </c>
      <c r="G28" s="63" t="s">
        <v>737</v>
      </c>
      <c r="H28" s="64" t="s">
        <v>738</v>
      </c>
    </row>
    <row r="29" spans="1:8" ht="18" customHeight="1" x14ac:dyDescent="0.3">
      <c r="A29" s="65" t="s">
        <v>863</v>
      </c>
      <c r="B29" s="66" t="s">
        <v>864</v>
      </c>
      <c r="C29" s="67" t="s">
        <v>865</v>
      </c>
      <c r="D29" s="68" t="s">
        <v>866</v>
      </c>
      <c r="E29" s="68" t="s">
        <v>867</v>
      </c>
      <c r="F29" s="67" t="s">
        <v>868</v>
      </c>
      <c r="G29" s="67" t="s">
        <v>737</v>
      </c>
      <c r="H29" s="69" t="s">
        <v>869</v>
      </c>
    </row>
    <row r="30" spans="1:8" ht="18" customHeight="1" x14ac:dyDescent="0.3">
      <c r="A30" s="61" t="s">
        <v>870</v>
      </c>
      <c r="B30" s="62" t="s">
        <v>871</v>
      </c>
      <c r="C30" s="63" t="s">
        <v>872</v>
      </c>
      <c r="D30" s="3" t="s">
        <v>873</v>
      </c>
      <c r="E30" s="3" t="s">
        <v>874</v>
      </c>
      <c r="F30" s="63" t="s">
        <v>875</v>
      </c>
      <c r="G30" s="63" t="s">
        <v>768</v>
      </c>
      <c r="H30" s="64" t="s">
        <v>738</v>
      </c>
    </row>
    <row r="31" spans="1:8" ht="18" customHeight="1" x14ac:dyDescent="0.3">
      <c r="A31" s="57" t="s">
        <v>876</v>
      </c>
      <c r="B31" s="2" t="s">
        <v>877</v>
      </c>
      <c r="C31" s="60" t="s">
        <v>878</v>
      </c>
      <c r="D31" s="58" t="s">
        <v>879</v>
      </c>
      <c r="E31" s="58" t="s">
        <v>880</v>
      </c>
      <c r="F31" s="60" t="s">
        <v>881</v>
      </c>
      <c r="G31" s="60" t="s">
        <v>737</v>
      </c>
      <c r="H31" s="64" t="s">
        <v>738</v>
      </c>
    </row>
    <row r="32" spans="1:8" ht="18" customHeight="1" x14ac:dyDescent="0.3">
      <c r="A32" s="61" t="s">
        <v>882</v>
      </c>
      <c r="B32" s="62" t="s">
        <v>883</v>
      </c>
      <c r="C32" s="63" t="s">
        <v>884</v>
      </c>
      <c r="D32" s="3" t="s">
        <v>885</v>
      </c>
      <c r="E32" s="3" t="s">
        <v>886</v>
      </c>
      <c r="F32" s="63" t="s">
        <v>887</v>
      </c>
      <c r="G32" s="63" t="s">
        <v>751</v>
      </c>
      <c r="H32" s="64" t="s">
        <v>738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📈 Budget_vs_Actual</vt:lpstr>
      <vt:lpstr>🧾 Invoice_Master</vt:lpstr>
      <vt:lpstr>💰 Expense_Claims</vt:lpstr>
      <vt:lpstr>📅 Calendar</vt:lpstr>
      <vt:lpstr>🏢 Departments</vt:lpstr>
      <vt:lpstr>👤 Vendors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Fakhrul Syahmi</cp:lastModifiedBy>
  <cp:revision>0</cp:revision>
  <dcterms:created xsi:type="dcterms:W3CDTF">2026-05-20T22:47:56Z</dcterms:created>
  <dcterms:modified xsi:type="dcterms:W3CDTF">2026-09-06T12:58:51Z</dcterms:modified>
  <cp:category/>
  <cp:contentStatus/>
</cp:coreProperties>
</file>